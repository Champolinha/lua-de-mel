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 Final" sheetId="1" r:id="rId5"/>
    <sheet state="visible" name="Roteiro google maps" sheetId="2" r:id="rId6"/>
    <sheet state="visible" name="Roteiro final" sheetId="3" r:id="rId7"/>
    <sheet state="visible" name="Salas VIP" sheetId="4" r:id="rId8"/>
    <sheet state="visible" name="Restaurantes de rede" sheetId="5" r:id="rId9"/>
    <sheet state="visible" name="Resumo cidades" sheetId="6" r:id="rId10"/>
    <sheet state="visible" name="Palavras" sheetId="7" r:id="rId11"/>
    <sheet state="visible" name="Produtos de limpeza de pele" sheetId="8" r:id="rId12"/>
    <sheet state="visible" name="Checklist" sheetId="9" r:id="rId13"/>
    <sheet state="visible" name="Passeios" sheetId="10" r:id="rId14"/>
    <sheet state="visible" name="Hotel" sheetId="11" r:id="rId15"/>
    <sheet state="visible" name="Dados" sheetId="12" r:id="rId16"/>
    <sheet state="visible" name="Passagens" sheetId="13" r:id="rId17"/>
  </sheets>
  <definedNames/>
  <calcPr/>
</workbook>
</file>

<file path=xl/sharedStrings.xml><?xml version="1.0" encoding="utf-8"?>
<sst xmlns="http://schemas.openxmlformats.org/spreadsheetml/2006/main" count="1081" uniqueCount="673">
  <si>
    <t>Passagens</t>
  </si>
  <si>
    <t>Hoteis</t>
  </si>
  <si>
    <t>Passeios</t>
  </si>
  <si>
    <t>Comida</t>
  </si>
  <si>
    <t>Lembrancinhas</t>
  </si>
  <si>
    <t>Transporte</t>
  </si>
  <si>
    <t>https://maps.app.goo.gl/4MsyitoCVyw7hPZH7</t>
  </si>
  <si>
    <t>Roteiro Singapura manhã - com a árvore</t>
  </si>
  <si>
    <t>https://maps.app.goo.gl/jEDqWXrm5umNZFv67</t>
  </si>
  <si>
    <t>Roteiro Singapura manhã - sem a arvore</t>
  </si>
  <si>
    <t>https://maps.app.goo.gl/8CsJDbjhr8jzRn4c6</t>
  </si>
  <si>
    <t>Roteiro Singapura tarde</t>
  </si>
  <si>
    <t>https://maps.app.goo.gl/c9Z1o4tKv97YGWdEA</t>
  </si>
  <si>
    <t>Singapura Metro Hotel -&gt; Aero</t>
  </si>
  <si>
    <t>https://maps.app.goo.gl/N4WnNs4ewqXEnm3z7</t>
  </si>
  <si>
    <t>Singapura Metro Aero -&gt; Hotel</t>
  </si>
  <si>
    <t>Nº Dia</t>
  </si>
  <si>
    <t>Data</t>
  </si>
  <si>
    <t>Dia da Semana</t>
  </si>
  <si>
    <t>Horario pra acordar</t>
  </si>
  <si>
    <t>Horario pra dormir</t>
  </si>
  <si>
    <t>Dia sem passeio</t>
  </si>
  <si>
    <t>Cidade</t>
  </si>
  <si>
    <t>Horário deslocamento</t>
  </si>
  <si>
    <t>CIA</t>
  </si>
  <si>
    <t>Hotel</t>
  </si>
  <si>
    <t>Roteiro</t>
  </si>
  <si>
    <t>-</t>
  </si>
  <si>
    <t>x</t>
  </si>
  <si>
    <t>GIG -&gt; GRU</t>
  </si>
  <si>
    <t>19h35 - 20h45</t>
  </si>
  <si>
    <t>LATAM</t>
  </si>
  <si>
    <t>GRU -&gt; DOHA</t>
  </si>
  <si>
    <t>01h - 21h</t>
  </si>
  <si>
    <t>QATAR AIRWAYS</t>
  </si>
  <si>
    <t>21h</t>
  </si>
  <si>
    <t>DOHA -&gt; Singapura</t>
  </si>
  <si>
    <t>02h - 14h55</t>
  </si>
  <si>
    <t>Singapura - Circular House</t>
  </si>
  <si>
    <t>Aeroporto + Chinatown</t>
  </si>
  <si>
    <t>09h-10h</t>
  </si>
  <si>
    <t>22h30-23h</t>
  </si>
  <si>
    <t>SINGAPURA</t>
  </si>
  <si>
    <t>Gardens By The Bay + Marina Sands Bay</t>
  </si>
  <si>
    <t>Ce la vi ou Spango - por do sol é as 19h18</t>
  </si>
  <si>
    <t>08h</t>
  </si>
  <si>
    <t>SINGAPURA -&gt; RAILAY BEACH</t>
  </si>
  <si>
    <t>10h55 - 11h40</t>
  </si>
  <si>
    <t>SCOOT</t>
  </si>
  <si>
    <t>BHU NGA</t>
  </si>
  <si>
    <t>Railay Beach</t>
  </si>
  <si>
    <t>09h-09h30</t>
  </si>
  <si>
    <t>RAILAY BEACH</t>
  </si>
  <si>
    <t>Phi phi + 4 islands + por do sol</t>
  </si>
  <si>
    <t>00h</t>
  </si>
  <si>
    <t>RAILAY BEACH -&gt; BANGKOK</t>
  </si>
  <si>
    <t>20h30 - 22h05</t>
  </si>
  <si>
    <t>AIR ASIA</t>
  </si>
  <si>
    <t>Bangkok - Tinidee</t>
  </si>
  <si>
    <t>Hong Islands</t>
  </si>
  <si>
    <t>06h</t>
  </si>
  <si>
    <t>02h30-03h</t>
  </si>
  <si>
    <t>BANGKOK</t>
  </si>
  <si>
    <t>mercados + templos</t>
  </si>
  <si>
    <t>https://chatgpt.com/share/69868e20-40c4-8003-ae9d-72616182fb65</t>
  </si>
  <si>
    <t>11h30</t>
  </si>
  <si>
    <t>BANGKOK - CORON</t>
  </si>
  <si>
    <t>18H45</t>
  </si>
  <si>
    <t>PHILIPINE AIRLINES</t>
  </si>
  <si>
    <t>22h</t>
  </si>
  <si>
    <t>Ilhas Coron - Filipinas</t>
  </si>
  <si>
    <t>chegada 09h40</t>
  </si>
  <si>
    <t>Coron - Bacau Bay Resort</t>
  </si>
  <si>
    <t>ultimate tour</t>
  </si>
  <si>
    <t>23h</t>
  </si>
  <si>
    <t>Trânsito Coron -&gt; Hong Kong</t>
  </si>
  <si>
    <t>12h40 - 21h40</t>
  </si>
  <si>
    <t>CEBGO / CEBU PACIFIC AIR</t>
  </si>
  <si>
    <t>USA HOSTEL HONG KONG ou Novotel Citygate Hong Kong</t>
  </si>
  <si>
    <t>00h-01h</t>
  </si>
  <si>
    <t>Hong Kong</t>
  </si>
  <si>
    <t>Rio Macau Hotel</t>
  </si>
  <si>
    <t>Victoria Peak / Soho
17h30/18h - Ferry to Tapai Macau
Passear pela rua dos cassinos
Cotaijet partem do terminal marítimo no Shun Tak Centre, estação Sheung Wan</t>
  </si>
  <si>
    <t>USA Hostel HONG KONG</t>
  </si>
  <si>
    <t>day trip Macau - Ruínas de São Paulo e o Largo do Senado, para admirar a arquitetura e os lindos calçadões de pedras portuguesas.
Pegar Ferry umas 18h - Ferry to Hong Kong - os ferries TurboJET partem do terminal marítimo China Ferry, em Tsim Sha Tsui, estação Tsim Sha Tsui do metrô. Há saídas de 7h às 22h30, a cada meia hora. O bilhete na classe econômica custa de HK$ 159 a HK$ 196,
Depois passear pelo Avenue of Stars e Street Market</t>
  </si>
  <si>
    <t>09h</t>
  </si>
  <si>
    <t>01h30</t>
  </si>
  <si>
    <t>Hong Kong -&gt; Pequim</t>
  </si>
  <si>
    <t>20h55 - 00h05</t>
  </si>
  <si>
    <t>HONG KONG AIRLINES - HONG KONG T1 -&gt; PEK T2</t>
  </si>
  <si>
    <t>Pequim</t>
  </si>
  <si>
    <t>Tung Chung - Ilha de Lantau - Grande Buda e Bondinho</t>
  </si>
  <si>
    <t>07h</t>
  </si>
  <si>
    <t>Tour - Grande Muralha + Cidade Proibida</t>
  </si>
  <si>
    <t>07-07h30</t>
  </si>
  <si>
    <t>Pequim -&gt; Seul</t>
  </si>
  <si>
    <t>09h55 - 13h05</t>
  </si>
  <si>
    <t>AIRCHINA PEK GMP</t>
  </si>
  <si>
    <t>OYO 6</t>
  </si>
  <si>
    <t>Gangnam / Meyoung</t>
  </si>
  <si>
    <t>Seul</t>
  </si>
  <si>
    <t>Passeio Coreia do Norte + saída a noite H / I</t>
  </si>
  <si>
    <t>00h30</t>
  </si>
  <si>
    <t>Seul -&gt; Toquio</t>
  </si>
  <si>
    <t>21h30 ICN - 23h25 HND</t>
  </si>
  <si>
    <t>ASIANA AIRLINES</t>
  </si>
  <si>
    <t>Toquio Heneda</t>
  </si>
  <si>
    <t>Palácios</t>
  </si>
  <si>
    <t>qua (01/04)</t>
  </si>
  <si>
    <t>09h?</t>
  </si>
  <si>
    <t>21h30-22h</t>
  </si>
  <si>
    <t>Toquio</t>
  </si>
  <si>
    <t>Disney</t>
  </si>
  <si>
    <t>Passear por Toquio</t>
  </si>
  <si>
    <t>Disney Sea</t>
  </si>
  <si>
    <t>Toquio -&gt; Osaka</t>
  </si>
  <si>
    <t>quarta</t>
  </si>
  <si>
    <t>06h30-7h</t>
  </si>
  <si>
    <t>Disney -&gt; Osaka</t>
  </si>
  <si>
    <t>Universal</t>
  </si>
  <si>
    <t>quinta</t>
  </si>
  <si>
    <t>07h?</t>
  </si>
  <si>
    <t>Toquio Centro</t>
  </si>
  <si>
    <t>Pokemon</t>
  </si>
  <si>
    <t>Osaka -&gt; Kyoto/Nara</t>
  </si>
  <si>
    <t>sexta</t>
  </si>
  <si>
    <t>08h-09h</t>
  </si>
  <si>
    <t>23h30-00h</t>
  </si>
  <si>
    <t>Osaka -&gt; Kyoto</t>
  </si>
  <si>
    <t>Disney -&gt; Kyoto</t>
  </si>
  <si>
    <t>Kyoto -&gt; Toquio</t>
  </si>
  <si>
    <t>sábado</t>
  </si>
  <si>
    <t>22h30</t>
  </si>
  <si>
    <t>Osaka</t>
  </si>
  <si>
    <t>Kyoto -&gt; Osaka</t>
  </si>
  <si>
    <t>Passear por Toquio ou bate-volta Monte Fuji</t>
  </si>
  <si>
    <t>domingo</t>
  </si>
  <si>
    <t>segunda</t>
  </si>
  <si>
    <t>08h30-09h</t>
  </si>
  <si>
    <t>Kyoto</t>
  </si>
  <si>
    <t>Osaka -&gt; Tokyo</t>
  </si>
  <si>
    <t>terça</t>
  </si>
  <si>
    <t>22h50</t>
  </si>
  <si>
    <t>Kyoto -&gt; Toquio Heneda</t>
  </si>
  <si>
    <t>Dubai</t>
  </si>
  <si>
    <t>04h55 - 09h50 - 11h55</t>
  </si>
  <si>
    <t>Air Arabia</t>
  </si>
  <si>
    <t>Burj Khalifa + Dubai Mall + The View Top + Marina Dubai</t>
  </si>
  <si>
    <t>Abu Dhabi</t>
  </si>
  <si>
    <t>Abu Dhabi Mosque + Parque Ferrari + Noite no deserto ?</t>
  </si>
  <si>
    <t>Dubai / Doha</t>
  </si>
  <si>
    <t>14h - 14h05</t>
  </si>
  <si>
    <t>Tour de 4 horas por Doha</t>
  </si>
  <si>
    <t>GRU -&gt; Rio</t>
  </si>
  <si>
    <t>00h - 09h - 14h</t>
  </si>
  <si>
    <t>Almoçar no Olive Garden de Guarulhos</t>
  </si>
  <si>
    <t>07/03 - 08/03</t>
  </si>
  <si>
    <t>Doha</t>
  </si>
  <si>
    <t>21h - 02h</t>
  </si>
  <si>
    <t>5 horas de escala</t>
  </si>
  <si>
    <t>14/03 - 15/03</t>
  </si>
  <si>
    <t>Manila? Cebu?</t>
  </si>
  <si>
    <t>3-4 horas de escala</t>
  </si>
  <si>
    <t>Angeles</t>
  </si>
  <si>
    <t>5 horas?</t>
  </si>
  <si>
    <t>Dubai -&gt; Doha</t>
  </si>
  <si>
    <t>04h55 - 09h50</t>
  </si>
  <si>
    <t>5 horas</t>
  </si>
  <si>
    <t>Doha -&gt; Gru</t>
  </si>
  <si>
    <t>21h - 00h</t>
  </si>
  <si>
    <t>3 horas</t>
  </si>
  <si>
    <t>Restaurante</t>
  </si>
  <si>
    <t>Singapura</t>
  </si>
  <si>
    <t>Bangkok</t>
  </si>
  <si>
    <t>Tóquio</t>
  </si>
  <si>
    <t>GRU</t>
  </si>
  <si>
    <t>Shake Shack</t>
  </si>
  <si>
    <t>✈️ DXB T3🏙️ Dubai Mall</t>
  </si>
  <si>
    <t>❌</t>
  </si>
  <si>
    <t>✈️ Jewel Changi🏙️ Orchard / VivoCity</t>
  </si>
  <si>
    <t>🏙️ Times Square / Harbour City</t>
  </si>
  <si>
    <t>🏙️ Sanlitun / WF Central</t>
  </si>
  <si>
    <t>✈️ Narita T1🏙️ Shibuya</t>
  </si>
  <si>
    <t>✈️ Incheon T1🏙️ COEX</t>
  </si>
  <si>
    <t>Olive Garden</t>
  </si>
  <si>
    <t>🏙️ Dubai (shopping)</t>
  </si>
  <si>
    <t>Sim, terminal 2, proximo ao check in E</t>
  </si>
  <si>
    <t>Five Guys</t>
  </si>
  <si>
    <t>🏙️ Doha Festival City</t>
  </si>
  <si>
    <t>🏙️ Yeouido / Seoul Station</t>
  </si>
  <si>
    <t>The Cheesecake Factory</t>
  </si>
  <si>
    <t>🏙️ Dubai Mall / MOE</t>
  </si>
  <si>
    <t>🏙️ Mall of Qatar</t>
  </si>
  <si>
    <t>🏙️ Harbour City</t>
  </si>
  <si>
    <t>🏙️ WF Central (Wangfujing)</t>
  </si>
  <si>
    <t>Chipotle</t>
  </si>
  <si>
    <t>⚠️ anunciado</t>
  </si>
  <si>
    <t>Cidade / País</t>
  </si>
  <si>
    <t>Datas</t>
  </si>
  <si>
    <t>Pendências</t>
  </si>
  <si>
    <t>Temperatura média</t>
  </si>
  <si>
    <t>Clima</t>
  </si>
  <si>
    <t>Roupas gerais recomendadas</t>
  </si>
  <si>
    <t>Roupas adequadas para templos</t>
  </si>
  <si>
    <t>Tomada (vs Brasil)</t>
  </si>
  <si>
    <t>Precisa adaptador?</t>
  </si>
  <si>
    <t>VPN p/ WhatsApp</t>
  </si>
  <si>
    <t>Moeda</t>
  </si>
  <si>
    <t>USD → Moeda (≈)</t>
  </si>
  <si>
    <t>BRL → Moeda (≈)</t>
  </si>
  <si>
    <t>Fuso (mar/26)</t>
  </si>
  <si>
    <t>Visto 🇧🇷</t>
  </si>
  <si>
    <t>Visto 🇮🇹</t>
  </si>
  <si>
    <t>Custo visto</t>
  </si>
  <si>
    <t>Antecedência</t>
  </si>
  <si>
    <t>Hotel casal (média)</t>
  </si>
  <si>
    <t>Remédio controlado</t>
  </si>
  <si>
    <t>Receita exigida</t>
  </si>
  <si>
    <t>Idioma</t>
  </si>
  <si>
    <t>Febre Amarela (🇧🇷)</t>
  </si>
  <si>
    <t>Observação prática</t>
  </si>
  <si>
    <t>08–10/03</t>
  </si>
  <si>
    <t>1. Reservar Ce La Vi
2. Confirmar e pagar hotel</t>
  </si>
  <si>
    <t>27–31 °C</t>
  </si>
  <si>
    <t>Quente e úmido</t>
  </si>
  <si>
    <t>Roupas leves, algodão, sandálias, tênis leve</t>
  </si>
  <si>
    <t>Ombros e joelhos cobertos; echarpe resolve</t>
  </si>
  <si>
    <t>Tipo G</t>
  </si>
  <si>
    <t>✅ Sim</t>
  </si>
  <si>
    <t>❌ Não</t>
  </si>
  <si>
    <t>SGD</t>
  </si>
  <si>
    <t>1 USD ≈ 1,35 SGD</t>
  </si>
  <si>
    <t>1 BRL ≈ 0,18 SGD</t>
  </si>
  <si>
    <t>+11h</t>
  </si>
  <si>
    <t>—</t>
  </si>
  <si>
    <t>US$ 180–280</t>
  </si>
  <si>
    <t>⚠️ Muito rigoroso</t>
  </si>
  <si>
    <t>Inglês</t>
  </si>
  <si>
    <t>❌ Não exige</t>
  </si>
  <si>
    <t>Um dos países mais rígidos</t>
  </si>
  <si>
    <t>Krabi / Phi Phi – Tailândia</t>
  </si>
  <si>
    <t>10–12/03</t>
  </si>
  <si>
    <t>2. Definir passeio dia 11/03</t>
  </si>
  <si>
    <t>26–32 °C</t>
  </si>
  <si>
    <t>Muito quente e úmido</t>
  </si>
  <si>
    <t>Roupas de praia, chinelo, chapéu</t>
  </si>
  <si>
    <t>Vestido/bermuda abaixo do joelho + camiseta</t>
  </si>
  <si>
    <t>Tipo A/B/C</t>
  </si>
  <si>
    <t>⚠️ Parcial</t>
  </si>
  <si>
    <t>THB</t>
  </si>
  <si>
    <t>1 USD ≈ 36 THB</t>
  </si>
  <si>
    <t>1 BRL ≈ 7 THB</t>
  </si>
  <si>
    <t>+10h</t>
  </si>
  <si>
    <t>US$ 120–220</t>
  </si>
  <si>
    <t>⚠️ Moderado</t>
  </si>
  <si>
    <t>⚠️ Recomendado</t>
  </si>
  <si>
    <t>✅ EXIGE</t>
  </si>
  <si>
    <t>Obrigatório CIVP se vindo do Brasil</t>
  </si>
  <si>
    <t>Bangkok – Tailândia</t>
  </si>
  <si>
    <t>12–14/03</t>
  </si>
  <si>
    <t>1. Definir passeio 13/03
2. Confirmar hotel</t>
  </si>
  <si>
    <t>28–34 °C</t>
  </si>
  <si>
    <t>Muito quente</t>
  </si>
  <si>
    <t>Roupas bem leves, tênis/sandália</t>
  </si>
  <si>
    <t>Obrigatório cobrir ombros e joelhos</t>
  </si>
  <si>
    <t>US$ 100–180</t>
  </si>
  <si>
    <t>Coron – Filipinas</t>
  </si>
  <si>
    <t>15–17/03</t>
  </si>
  <si>
    <t>1. Definir passeio
2. Confirmar voo pacific</t>
  </si>
  <si>
    <t>26–31 °C</t>
  </si>
  <si>
    <t>Quente tropical</t>
  </si>
  <si>
    <t>Roupas leves, praia, repelente</t>
  </si>
  <si>
    <t>Pouca exigência; evitar roupa de praia em igrejas</t>
  </si>
  <si>
    <t>PHP</t>
  </si>
  <si>
    <t>1 USD ≈ 56 PHP</t>
  </si>
  <si>
    <t>1 BRL ≈ 6 PHP</t>
  </si>
  <si>
    <t>❌ Não (59 dias)</t>
  </si>
  <si>
    <t>US$ 120–200</t>
  </si>
  <si>
    <t>Pode ser cobrado no controle sanitário</t>
  </si>
  <si>
    <t>17–18/03 e 19-20/03</t>
  </si>
  <si>
    <t>1. Definir passeios
2. Confirmar hotel</t>
  </si>
  <si>
    <t>18–24 °C</t>
  </si>
  <si>
    <t>Agradável, úmido</t>
  </si>
  <si>
    <t>Calça leve, camiseta, jaqueta fina</t>
  </si>
  <si>
    <t>Roupas discretas; ombros cobertos</t>
  </si>
  <si>
    <t>HKD</t>
  </si>
  <si>
    <t>1 USD ≈ 7,8 HKD</t>
  </si>
  <si>
    <t>1 BRL ≈ 1,3 HKD</t>
  </si>
  <si>
    <t>US$ 180–300</t>
  </si>
  <si>
    <t>Mesmo vindo do Brasil</t>
  </si>
  <si>
    <t>Macau</t>
  </si>
  <si>
    <t>18–19/03</t>
  </si>
  <si>
    <t>1. Definir barcos
2. Montar roteiro</t>
  </si>
  <si>
    <t>MOP (Pataca)</t>
  </si>
  <si>
    <t>1 USD ≈ 8,1</t>
  </si>
  <si>
    <t>1 BRL ≈ 1,40</t>
  </si>
  <si>
    <t>❌ isento (90 dias)</t>
  </si>
  <si>
    <t>R$ 900–1.600</t>
  </si>
  <si>
    <t>Regime próprio</t>
  </si>
  <si>
    <t>20-22/03</t>
  </si>
  <si>
    <t>1. Definir passeio
2. Definir hotel</t>
  </si>
  <si>
    <t>Seul – Coreia do Sul</t>
  </si>
  <si>
    <t>22–24/03</t>
  </si>
  <si>
    <t>1. Montar roteiro</t>
  </si>
  <si>
    <t>5–13 °C</t>
  </si>
  <si>
    <t>Frio (fim do inverno)</t>
  </si>
  <si>
    <t>Casaco médio, calça, tênis fechado</t>
  </si>
  <si>
    <t>Roupas discretas; sapatos fáceis de tirar</t>
  </si>
  <si>
    <t>Tipo C/F</t>
  </si>
  <si>
    <t>KRW</t>
  </si>
  <si>
    <t>1 USD ≈ 1.300 KRW</t>
  </si>
  <si>
    <t>1 BRL ≈ 270 KRW</t>
  </si>
  <si>
    <t>+12h</t>
  </si>
  <si>
    <t>⚠️ K-ETA</t>
  </si>
  <si>
    <t>~US$ 8</t>
  </si>
  <si>
    <t>1–2 meses</t>
  </si>
  <si>
    <t>US$ 130–220</t>
  </si>
  <si>
    <t>Nenhuma vacina obrigatória</t>
  </si>
  <si>
    <t>Tóquio – Japão</t>
  </si>
  <si>
    <t>25/03–01/04</t>
  </si>
  <si>
    <t>1. Comprar parques
2. Definir hoteis
3. Comprar trens
4. Montar roteiro</t>
  </si>
  <si>
    <t>8–17 °C</t>
  </si>
  <si>
    <t>Primavera</t>
  </si>
  <si>
    <t>Casaco leve, roupas em camadas</t>
  </si>
  <si>
    <t>Roupas discretas; evitar shorts/decotes</t>
  </si>
  <si>
    <t>Tipo A</t>
  </si>
  <si>
    <t>JPY</t>
  </si>
  <si>
    <t>1 USD ≈ 150 JPY</t>
  </si>
  <si>
    <t>1 BRL ≈ 22 JPY</t>
  </si>
  <si>
    <t>US$ 150–250</t>
  </si>
  <si>
    <t>Remédios são o maior risco</t>
  </si>
  <si>
    <t>Dubai – EAU</t>
  </si>
  <si>
    <t>1. Comprar passagens
2. Definir roteiro</t>
  </si>
  <si>
    <t>22–32 °C</t>
  </si>
  <si>
    <t>Quente e seco</t>
  </si>
  <si>
    <t>Roupas leves, óculos escuros</t>
  </si>
  <si>
    <t>Ombros e joelhos cobertos</t>
  </si>
  <si>
    <t>⚠️ Parcial*</t>
  </si>
  <si>
    <t>AED</t>
  </si>
  <si>
    <t>1 USD ≈ 3,67 AED</t>
  </si>
  <si>
    <t>1 BRL ≈ 0,75 AED</t>
  </si>
  <si>
    <t>+7h</t>
  </si>
  <si>
    <t>Controle forte de medicamentos</t>
  </si>
  <si>
    <t>Abu Dhabi – EAU</t>
  </si>
  <si>
    <t>Roupas leves</t>
  </si>
  <si>
    <t>Vestimenta conservadora obrigatória</t>
  </si>
  <si>
    <t>Igual Dubai</t>
  </si>
  <si>
    <t>Doha – Catar</t>
  </si>
  <si>
    <t>1. Confirmar passeio</t>
  </si>
  <si>
    <t>21–30 °C</t>
  </si>
  <si>
    <t>Tipo G (inglês)</t>
  </si>
  <si>
    <t>QAR</t>
  </si>
  <si>
    <t>1 USD ≈ 3,64 QAR</t>
  </si>
  <si>
    <t>1 BRL ≈ 0,75 QAR</t>
  </si>
  <si>
    <t>+6h</t>
  </si>
  <si>
    <t>Atenção a ansiolíticos/opioides</t>
  </si>
  <si>
    <t>País / Região</t>
  </si>
  <si>
    <t>Oi</t>
  </si>
  <si>
    <t>Obrigado(a)</t>
  </si>
  <si>
    <t>Por favor</t>
  </si>
  <si>
    <t>Licença</t>
  </si>
  <si>
    <t>Quanto custa?</t>
  </si>
  <si>
    <t>Banheiro</t>
  </si>
  <si>
    <t>Foto</t>
  </si>
  <si>
    <t>Sem pimenta</t>
  </si>
  <si>
    <t>Água</t>
  </si>
  <si>
    <t>Ajuda</t>
  </si>
  <si>
    <t>Tchau</t>
  </si>
  <si>
    <t>🇸🇬 Singapura</t>
  </si>
  <si>
    <t>Hello (ré-lou)</t>
  </si>
  <si>
    <t>Thank you (thénk iu)</t>
  </si>
  <si>
    <t>Please (plíz)</t>
  </si>
  <si>
    <t>Excuse me (eks-kiúz mi)</t>
  </si>
  <si>
    <t>How much is it? (rau match iz it)</t>
  </si>
  <si>
    <t>Bathroom (báth-rum)</t>
  </si>
  <si>
    <t>Photo (fôu-tou)</t>
  </si>
  <si>
    <t>No spicy (nou spai-ci)</t>
  </si>
  <si>
    <t>Water (uó-ter)</t>
  </si>
  <si>
    <t>Help (rélp)</t>
  </si>
  <si>
    <t>Bye (bai)</t>
  </si>
  <si>
    <t>🇹🇭 Tailândia (Krabi / Phi Phi / Bangkok)</t>
  </si>
  <si>
    <t>Tailandês</t>
  </si>
  <si>
    <t>Sawadee ka (sa-wa-dii ká)</t>
  </si>
  <si>
    <t>Khob khun ka (cóp kun ká)</t>
  </si>
  <si>
    <t>Karuna ka (ka-ru-na ká)</t>
  </si>
  <si>
    <t>Khor thot ka (cór tót ká)</t>
  </si>
  <si>
    <t>Tao rai ka? (tao rai ká?)</t>
  </si>
  <si>
    <t>Hong nam ka (rong nam ká)</t>
  </si>
  <si>
    <t>Tai ruup ka (tai ruup ká)</t>
  </si>
  <si>
    <t>Mai phet ka (mai pét ká)</t>
  </si>
  <si>
    <t>Nam ka (nam ká)</t>
  </si>
  <si>
    <t>Chuai duai ka (chu-ai du-ai ká)</t>
  </si>
  <si>
    <t>La gon ka (la gon ká)</t>
  </si>
  <si>
    <t>🇵🇭 Filipinas (Coron)</t>
  </si>
  <si>
    <t>Filipino</t>
  </si>
  <si>
    <t>Kumusta (ku-mus-tá)</t>
  </si>
  <si>
    <t>Salamat (sa-la-mat)</t>
  </si>
  <si>
    <t>Pakiusap (pa-ki-u-sap)</t>
  </si>
  <si>
    <t>Mawalang galang (ma-wa-lang ga-lang)</t>
  </si>
  <si>
    <t>Magkano? (mag-ka-no)</t>
  </si>
  <si>
    <t>Banyo (ban-yo)</t>
  </si>
  <si>
    <t>Larawan (la-ra-wan)</t>
  </si>
  <si>
    <t>Hindi maanghang (rin-di ma-ang-rang)</t>
  </si>
  <si>
    <t>Tubig (tu-big)</t>
  </si>
  <si>
    <t>Tulong (tu-long)</t>
  </si>
  <si>
    <t>Paalam (pa-a-lam)</t>
  </si>
  <si>
    <t>🇭🇰🇲🇴 Hong Kong / Macau</t>
  </si>
  <si>
    <t>Cantonês</t>
  </si>
  <si>
    <t>Néih hóu (nei rôu)</t>
  </si>
  <si>
    <t>M̀hgōi (mm-goi)</t>
  </si>
  <si>
    <t>Géi chín a? (guei tchin a?)</t>
  </si>
  <si>
    <t>Chi sóu (tchi sou)</t>
  </si>
  <si>
    <t>Sèung (seung)</t>
  </si>
  <si>
    <t>M̀h làat (mm laat)</t>
  </si>
  <si>
    <t>Séi seui (sei suei)</t>
  </si>
  <si>
    <t>Bōng sàuh (bong sau)</t>
  </si>
  <si>
    <t>Joi gin (joi guin)</t>
  </si>
  <si>
    <t>🇨🇳 Pequim</t>
  </si>
  <si>
    <t>Mandarim</t>
  </si>
  <si>
    <t>Nǐ hǎo (ni ráu)</t>
  </si>
  <si>
    <t>Xiè xiè (chiê chiê)</t>
  </si>
  <si>
    <t>Qǐng (tching)</t>
  </si>
  <si>
    <t>Duì bu qǐ (duei bu tchi)</t>
  </si>
  <si>
    <t>Duō shǎo qián? (duô shao tchien?)</t>
  </si>
  <si>
    <t>Cèsuǒ (tsê-suô)</t>
  </si>
  <si>
    <t>Zhào piàn (djao pien)</t>
  </si>
  <si>
    <t>Bú yào là (bu iau la)</t>
  </si>
  <si>
    <t>Shuǐ (shuei)</t>
  </si>
  <si>
    <t>Bāng wǒ (bang uó)</t>
  </si>
  <si>
    <t>Zài jiàn (dzái djién)</t>
  </si>
  <si>
    <t>🇰🇷 Seul</t>
  </si>
  <si>
    <t>Coreano</t>
  </si>
  <si>
    <t>Annyeong haseyo (an-nyong ha-se-yo)</t>
  </si>
  <si>
    <t>Kamsahamnida (kam-sa-ram-ni-da)</t>
  </si>
  <si>
    <t>Juseyo (dju-se-yo)</t>
  </si>
  <si>
    <t>Sillyehamnida (sil-lie-ram-ni-da)</t>
  </si>
  <si>
    <t>Eolmayeyo? (ol-ma-ie-yo?)</t>
  </si>
  <si>
    <t>Hwajangsil (rua-djang-sil)</t>
  </si>
  <si>
    <t>Sajin (sa-djin)</t>
  </si>
  <si>
    <t>An maewoyo (an mé-uô-yo)</t>
  </si>
  <si>
    <t>Mul (mul)</t>
  </si>
  <si>
    <t>Dowajuseyo (do-wa-dju-se-yo)</t>
  </si>
  <si>
    <t>Annyeong (an-nyong)</t>
  </si>
  <si>
    <t>🇯🇵 Tóquio</t>
  </si>
  <si>
    <t>Japonês</t>
  </si>
  <si>
    <t>Konnichiwa (kon-ni-tchi-uá)</t>
  </si>
  <si>
    <t>Arigatō gozaimasu (a-ri-ga-to go-zai-mas)</t>
  </si>
  <si>
    <t>Onegaishimasu (o-ne-gai-shi-mas)</t>
  </si>
  <si>
    <t>Sumimasen (su-mi-ma-sen)</t>
  </si>
  <si>
    <t>Ikura desu ka? (i-ku-ra des ka?)</t>
  </si>
  <si>
    <t>Toire (toi-rê)</t>
  </si>
  <si>
    <t>Shashin (sha-shin)</t>
  </si>
  <si>
    <t>Karakunai de (ka-ra-ku-nai dê)</t>
  </si>
  <si>
    <t>Mizu (mi-zu)</t>
  </si>
  <si>
    <t>Tasukete (ta-su-ke-te)</t>
  </si>
  <si>
    <t>Sayonara (sa-yo-na-ra)</t>
  </si>
  <si>
    <t>🇦🇪🇶🇦 EAU / Catar</t>
  </si>
  <si>
    <t>Árabe</t>
  </si>
  <si>
    <t>Marhaba (mar-ra-ba)</t>
  </si>
  <si>
    <t>Shukran (chuk-ran)</t>
  </si>
  <si>
    <t>Min fadlak (min fad-lak)</t>
  </si>
  <si>
    <t>Afwan (af-uán)</t>
  </si>
  <si>
    <t>Kam as-si'r? (kam as-sir?)</t>
  </si>
  <si>
    <t>Hammam (ram-mam)</t>
  </si>
  <si>
    <t>Sura (su-ra)</t>
  </si>
  <si>
    <t>Bila har (bi-la har)</t>
  </si>
  <si>
    <t>Maa (ma-a)</t>
  </si>
  <si>
    <t>Musaa'ada (mu-sa-a-da)</t>
  </si>
  <si>
    <t>Ma'a salama (ma-a sa-la-ma)</t>
  </si>
  <si>
    <t>Quando?</t>
  </si>
  <si>
    <t>Ordem</t>
  </si>
  <si>
    <t>Produto</t>
  </si>
  <si>
    <t>Área</t>
  </si>
  <si>
    <t>Observação</t>
  </si>
  <si>
    <t>Manhã</t>
  </si>
  <si>
    <t>Noorskin Gel de Limpeza Facial - Fresh Start</t>
  </si>
  <si>
    <t>Rosto</t>
  </si>
  <si>
    <t>Limpar pele</t>
  </si>
  <si>
    <t>Toning Melasma Serum - BOH Bio Heal OU Serum Correcteur Éclat - Avène</t>
  </si>
  <si>
    <t>Escolher 1 tratamento (manchas ou luminosidade)</t>
  </si>
  <si>
    <t>Noorskin Natural Light Serum (AH + Niacinamida + Pantenol)</t>
  </si>
  <si>
    <t>Hidratação leve</t>
  </si>
  <si>
    <t>Noorskin Hidratante Facial - Daylight Vitality</t>
  </si>
  <si>
    <t>Selar hidratação</t>
  </si>
  <si>
    <t>Protetor Solar</t>
  </si>
  <si>
    <t>Rosto e corpo exposto</t>
  </si>
  <si>
    <t>Último passo obrigatório</t>
  </si>
  <si>
    <t>Noite</t>
  </si>
  <si>
    <t>Remover sujeira e protetor</t>
  </si>
  <si>
    <t>Tratamento</t>
  </si>
  <si>
    <t>Noorskin Natural Light Serum</t>
  </si>
  <si>
    <t>Hidratar</t>
  </si>
  <si>
    <t>Finalizar</t>
  </si>
  <si>
    <t>ROTINA NOITE (1–2x por semana com esfoliação)</t>
  </si>
  <si>
    <t>Gel de Limpeza Facial</t>
  </si>
  <si>
    <t>Gel Esfoliante Facial - True Skin</t>
  </si>
  <si>
    <t>Não usar no mesmo dia que a pele estiver sensível</t>
  </si>
  <si>
    <t>Sérum de Tratamento (Melasma ou Éclat)</t>
  </si>
  <si>
    <t>Sérum Natural Light</t>
  </si>
  <si>
    <t>Hidratante Facial</t>
  </si>
  <si>
    <t>ROTINA CORPO (diária)</t>
  </si>
  <si>
    <t>Gel de Banho Body Immersion</t>
  </si>
  <si>
    <t>Corpo</t>
  </si>
  <si>
    <t>Durante banho</t>
  </si>
  <si>
    <t>Serum Corporal Skin Lab OU Sallve Antioxidante</t>
  </si>
  <si>
    <t>Escolher 1 se quiser simplificar</t>
  </si>
  <si>
    <t>Noorskin Body Temple</t>
  </si>
  <si>
    <t>Usar à noite se precisar de hidratação intensa</t>
  </si>
  <si>
    <t>Categoria</t>
  </si>
  <si>
    <t>Item</t>
  </si>
  <si>
    <t>Status (✔/✘)</t>
  </si>
  <si>
    <t>Observações</t>
  </si>
  <si>
    <t>Documentos</t>
  </si>
  <si>
    <t>Passaporte (validade &gt; 6 meses)</t>
  </si>
  <si>
    <t>OK</t>
  </si>
  <si>
    <t>Seguro viagem</t>
  </si>
  <si>
    <t>Passagens aéreas</t>
  </si>
  <si>
    <t>Reservas de hotéis</t>
  </si>
  <si>
    <t>Cartões e dinheiro</t>
  </si>
  <si>
    <t>Tecnologia</t>
  </si>
  <si>
    <t>Celular desbloqueado</t>
  </si>
  <si>
    <t>VPN instalada</t>
  </si>
  <si>
    <t>Apps offline (Maps, Translate)</t>
  </si>
  <si>
    <t>Power bank</t>
  </si>
  <si>
    <t>Energia</t>
  </si>
  <si>
    <t>Adaptador universal</t>
  </si>
  <si>
    <t>Cabos de carregamento</t>
  </si>
  <si>
    <t>Bagagem</t>
  </si>
  <si>
    <t>Mala de mão</t>
  </si>
  <si>
    <t>Roupas adequadas</t>
  </si>
  <si>
    <t>Remédios essenciais</t>
  </si>
  <si>
    <t>Itens de higiene</t>
  </si>
  <si>
    <t>Financeiro</t>
  </si>
  <si>
    <t>Cartão internacional habilitado</t>
  </si>
  <si>
    <t>Dinheiro em espécie (USD)</t>
  </si>
  <si>
    <t>Cartão Wise/Nomad</t>
  </si>
  <si>
    <t>Aeroporto</t>
  </si>
  <si>
    <t>Check-in online</t>
  </si>
  <si>
    <t>Etiquetas de bagagem</t>
  </si>
  <si>
    <t>tour guiado de 4 horas pela cidade</t>
  </si>
  <si>
    <t>pendente</t>
  </si>
  <si>
    <t>horário 16h</t>
  </si>
  <si>
    <t>pgto 02/04/2026</t>
  </si>
  <si>
    <t>trip advisor</t>
  </si>
  <si>
    <t>confirmar se pode levar mala</t>
  </si>
  <si>
    <t>tour DMZ + ponte Gam</t>
  </si>
  <si>
    <t>pago</t>
  </si>
  <si>
    <t>get your guide</t>
  </si>
  <si>
    <t>Muralha + Cidade Proibida</t>
  </si>
  <si>
    <t>07h50</t>
  </si>
  <si>
    <t>Hong kONG - Lantau</t>
  </si>
  <si>
    <t>Hong Kong - Peak</t>
  </si>
  <si>
    <t>Hong kong ferry ida</t>
  </si>
  <si>
    <t>Hong kong ferry volta</t>
  </si>
  <si>
    <t>https://phiphibrazuca.com/passeio-mercados-templos-bangkok-guia-portugues/</t>
  </si>
  <si>
    <t>06h30-15h30</t>
  </si>
  <si>
    <t>?</t>
  </si>
  <si>
    <t>phi phi brazuca</t>
  </si>
  <si>
    <t>Phi phi + 4 islands</t>
  </si>
  <si>
    <t>pendente/</t>
  </si>
  <si>
    <t>11h30 - 19h30/</t>
  </si>
  <si>
    <t>hong island - long tail</t>
  </si>
  <si>
    <t>https://phiphibrazuca.com/tailandia-hong-islands-krabi/</t>
  </si>
  <si>
    <t>09h-15h</t>
  </si>
  <si>
    <t>passeio coron</t>
  </si>
  <si>
    <t>https://www.getyourguide.com/pt-br/coron-l105241/coron-ultimate-tour-7-destinos-com-almoco-e-transferes-t880027/?ranking_uuid=66f05ec2-5ab3-41a4-9cb6-189afc92ddd9&amp;date_from=2026-03-21&amp;date_to=2026-03-21</t>
  </si>
  <si>
    <t>08h-17h30</t>
  </si>
  <si>
    <t>pokemon</t>
  </si>
  <si>
    <t>disney</t>
  </si>
  <si>
    <t>universal</t>
  </si>
  <si>
    <t>teamlab</t>
  </si>
  <si>
    <t>sky shibuya</t>
  </si>
  <si>
    <t>kyoto e nara</t>
  </si>
  <si>
    <t>https://www.getyourguide.com/pt-br/quioto-l96826/quioto-kinkakuji-arashiyama-santuario-de-fushimi-inari-e-narapar-t179654?ranking_uuid=0c6ffce2-7dd0-48c5-8a1d-0bf5aa4af0d4&amp;date_from=2026-03-27&amp;_pc=1,2</t>
  </si>
  <si>
    <t>Site da reserva</t>
  </si>
  <si>
    <t>Nome do hotel</t>
  </si>
  <si>
    <t>Café da manhã?</t>
  </si>
  <si>
    <t>Data de Chegada</t>
  </si>
  <si>
    <t>Data de Saída</t>
  </si>
  <si>
    <t>Qtd de diárias</t>
  </si>
  <si>
    <t>Valor moeda local</t>
  </si>
  <si>
    <t>Valor reais</t>
  </si>
  <si>
    <t>data de pgto</t>
  </si>
  <si>
    <t>data de cancelamento gratuito</t>
  </si>
  <si>
    <t>Cartão</t>
  </si>
  <si>
    <t>Pago?</t>
  </si>
  <si>
    <t>Valor médio por diária</t>
  </si>
  <si>
    <t>Agoda</t>
  </si>
  <si>
    <t>Circular House</t>
  </si>
  <si>
    <t>Sim</t>
  </si>
  <si>
    <t>SIN 197,92</t>
  </si>
  <si>
    <t>Não</t>
  </si>
  <si>
    <t>Krabi</t>
  </si>
  <si>
    <t>Bhu Nga</t>
  </si>
  <si>
    <t>Tinidee</t>
  </si>
  <si>
    <t>3 165,34 THB</t>
  </si>
  <si>
    <t>Coron</t>
  </si>
  <si>
    <t>Bacau Bay Resort Coron</t>
  </si>
  <si>
    <t>US$ 220,11</t>
  </si>
  <si>
    <t>Booking</t>
  </si>
  <si>
    <t>Hygge House +852 9633 6201 - Endereço72 Nathan Road Flat 801, 8/F, Kowloon, Yau Tsim Mong District, Hong Kong, Hong Kong</t>
  </si>
  <si>
    <t>USD 159,43</t>
  </si>
  <si>
    <t>767,07 MOP</t>
  </si>
  <si>
    <t>91 USD</t>
  </si>
  <si>
    <t>Guo Ji Yi Yuan Hotel ou Ramada</t>
  </si>
  <si>
    <t>1286,28 CNY</t>
  </si>
  <si>
    <t>201 454 KRW</t>
  </si>
  <si>
    <t>Booking (vittoria94@hotmail.com)</t>
  </si>
  <si>
    <t>Villa Fontaine Grand Haneda Airport - Directly connected to Haneda Airport Terminal 3</t>
  </si>
  <si>
    <t>¥23.306</t>
  </si>
  <si>
    <t>C6 Internacional</t>
  </si>
  <si>
    <t>Toyoko Inn Osaka Namba</t>
  </si>
  <si>
    <t>¥27.300</t>
  </si>
  <si>
    <t>Hotel Vista Premio Kyoto Kawaramachi St</t>
  </si>
  <si>
    <t>¥31.327</t>
  </si>
  <si>
    <t>The Royal Park Hotel Maihama Resort Tokyo Bay</t>
  </si>
  <si>
    <t>¥89.012</t>
  </si>
  <si>
    <t>Landmark Premier Hotel</t>
  </si>
  <si>
    <t>US$ 149,43</t>
  </si>
  <si>
    <t>Vittoria Maia</t>
  </si>
  <si>
    <t>Mantuano</t>
  </si>
  <si>
    <t>vittoria94@hotmail.com</t>
  </si>
  <si>
    <t>Avenida General Guedes da Fontoura 950 apto 101 - 22621243 - RIO DE JANEIRO RJ BRAZIL</t>
  </si>
  <si>
    <t>Rodrigo Amorim Gomes de Sa</t>
  </si>
  <si>
    <t>5162924632255612</t>
  </si>
  <si>
    <t>09/33</t>
  </si>
  <si>
    <t>Código</t>
  </si>
  <si>
    <t>Ida e Volta (GRU -&gt; SIN + TOK -&gt; GRU)</t>
  </si>
  <si>
    <t>LATAM PASS</t>
  </si>
  <si>
    <t>Ida</t>
  </si>
  <si>
    <t>SINGAPURA -&gt; KRABI</t>
  </si>
  <si>
    <t>OGTS9E</t>
  </si>
  <si>
    <t>KRABI -&gt; BKK</t>
  </si>
  <si>
    <t>L516QB</t>
  </si>
  <si>
    <t>BKK -&gt; CORON</t>
  </si>
  <si>
    <t>ZNMHZP</t>
  </si>
  <si>
    <t>CEBU PACIFIC AIR</t>
  </si>
  <si>
    <t>CORON -&gt; HONG KONG</t>
  </si>
  <si>
    <t>kiwi - 721 417 422</t>
  </si>
  <si>
    <t>HONG KONG EXPRESS</t>
  </si>
  <si>
    <t>HONG KONG -&gt; SEOUL</t>
  </si>
  <si>
    <t>L6HVRC</t>
  </si>
  <si>
    <t>HONG KONG AIRLINES</t>
  </si>
  <si>
    <t>HONG KONG -&gt; PEQUIM</t>
  </si>
  <si>
    <t>NE2601242305579493</t>
  </si>
  <si>
    <t>USD</t>
  </si>
  <si>
    <t>AIR CHINA</t>
  </si>
  <si>
    <t>PEQUIM -&gt; SEUL</t>
  </si>
  <si>
    <t>SEUL -&gt; TOKYO</t>
  </si>
  <si>
    <t>AIR ARABIA</t>
  </si>
  <si>
    <t>DOHA -&gt; DUBAI -&gt; DOHA</t>
  </si>
  <si>
    <t>Bangkok's Buddhist temples are world famous and this tour takes us to three of the most unusual ones that this city has to offer. We start at the ornate Wat Trimitr which is situated at the end of buzzing Chinatown's Yaowarat Road, and also near to Hua Lampong train station. This temple is home to a vast invaluable Golden Buddha that weighs five-and-half tons adding to this remarkable site. Next is the largest temple complex in Bangkok, Wat Po, which has an impressive reclining Buddha that is 46 metres in length as well as ornate chedis. No temple tour is complete without a visit to the gleaming Grand Palace which is one of the most beautiful examples of a traditional Siamese Court. Previously the residence of royalty, there are a number of different venues for different occasions including the Funeral Palace, the Reception Palace. the Throne Hall, the Coronation Hall, the Royal Guest House and the famed Emerald Buddha Temple.</t>
  </si>
  <si>
    <t>Day 3 Bangkok</t>
  </si>
  <si>
    <t>Holiday Inn Silom (Direct Booking)</t>
  </si>
  <si>
    <t>Private Half Day Damnoen Saduak Floating Market | Spanish - 3 STAR I BRA-USD</t>
  </si>
  <si>
    <t>01 May 2025</t>
  </si>
  <si>
    <t>Passenger</t>
  </si>
  <si>
    <t>Pickup time</t>
  </si>
  <si>
    <t>Pickup location</t>
  </si>
  <si>
    <t>Drop off time</t>
  </si>
  <si>
    <t>Drop off location</t>
  </si>
  <si>
    <t>Flight/bus</t>
  </si>
  <si>
    <t>number</t>
  </si>
  <si>
    <t>PAX</t>
  </si>
  <si>
    <t>CECILIA SOUSA</t>
  </si>
  <si>
    <t>SARAIVA, CESAR JULIAO</t>
  </si>
  <si>
    <t>MASCARENHAS</t>
  </si>
  <si>
    <t>Holidav inn silom</t>
  </si>
  <si>
    <t>(Direct Booking)</t>
  </si>
  <si>
    <t>Holidav inn Silom</t>
  </si>
  <si>
    <t>Thailand's floating markets hold cultural significance in the country with many tourists wanting to experience this tradition.</t>
  </si>
  <si>
    <t>Damnoen Saduak is dubbed as the 'real floating market' and is around 110 km west of Bangkok. A trip to this Thai phenomenon is like travelling back to the ancient times of the Siam Kingdom where colourful clad merchants paddle along the narrow canals. Here we witness the traditional ways of trading fruit, vegetables and other small items from small boats.</t>
  </si>
  <si>
    <t>There are also traditional Thai houses to view and we learn how boats are a vital mode of transport for locals in their everyday lives. This tour includes a visit to the famed Maeklong Railway where stalls are erected trackside and hastily moved as trains arrive.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</si>
</sst>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R$ -416]#,##0.00"/>
    <numFmt numFmtId="165" formatCode="dd/mm/yyyy"/>
    <numFmt numFmtId="166" formatCode="dd/mm"/>
    <numFmt numFmtId="167" formatCode="hh:mm"/>
  </numFmts>
  <fonts count="7">
    <font>
      <sz val="10.0"/>
      <color rgb="FF000000"/>
      <name val="Arial"/>
      <scheme val="minor"/>
    </font>
    <font>
      <color theme="1"/>
      <name val="Arial"/>
      <scheme val="minor"/>
    </font>
    <font>
      <u/>
      <color rgb="FF0000FF"/>
    </font>
    <font>
      <color theme="1"/>
      <name val="Arial"/>
    </font>
    <font>
      <b/>
      <color theme="1"/>
      <name val="Arial"/>
      <scheme val="minor"/>
    </font>
    <font>
      <sz val="11.0"/>
      <color rgb="FF000000"/>
      <name val="&quot;Aptos Narrow&quot;"/>
    </font>
    <font>
      <sz val="11.0"/>
      <color rgb="FF000000"/>
      <name val="Arial"/>
    </font>
  </fonts>
  <fills count="5">
    <fill>
      <patternFill patternType="none"/>
    </fill>
    <fill>
      <patternFill patternType="lightGray"/>
    </fill>
    <fill>
      <patternFill patternType="solid">
        <fgColor rgb="FFFFFF00"/>
        <bgColor rgb="FFFFFF00"/>
      </patternFill>
    </fill>
    <fill>
      <patternFill patternType="solid">
        <fgColor rgb="FFCCCCCC"/>
        <bgColor rgb="FFCCCCCC"/>
      </patternFill>
    </fill>
    <fill>
      <patternFill patternType="solid">
        <fgColor rgb="FF00FFFF"/>
        <bgColor rgb="FF00FFFF"/>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xf>
    <xf borderId="0" fillId="2" fontId="1" numFmtId="164" xfId="0" applyFill="1" applyFont="1" applyNumberFormat="1"/>
    <xf borderId="0" fillId="0" fontId="1" numFmtId="164" xfId="0" applyFont="1" applyNumberFormat="1"/>
    <xf borderId="0" fillId="0" fontId="2" numFmtId="0" xfId="0" applyAlignment="1" applyFont="1">
      <alignment readingOrder="0"/>
    </xf>
    <xf borderId="0" fillId="3" fontId="3" numFmtId="0" xfId="0" applyAlignment="1" applyFill="1" applyFont="1">
      <alignment horizontal="center" readingOrder="0" vertical="bottom"/>
    </xf>
    <xf borderId="0" fillId="0" fontId="3" numFmtId="0" xfId="0" applyAlignment="1" applyFont="1">
      <alignment horizontal="right" readingOrder="0" vertical="bottom"/>
    </xf>
    <xf borderId="0" fillId="0" fontId="3" numFmtId="165" xfId="0" applyAlignment="1" applyFont="1" applyNumberFormat="1">
      <alignment horizontal="right" readingOrder="0" vertical="bottom"/>
    </xf>
    <xf borderId="0" fillId="0" fontId="3" numFmtId="0" xfId="0" applyAlignment="1" applyFont="1">
      <alignment horizontal="center" readingOrder="0" vertical="bottom"/>
    </xf>
    <xf borderId="0" fillId="0" fontId="3" numFmtId="0" xfId="0" applyAlignment="1" applyFont="1">
      <alignment readingOrder="0"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0" fillId="0" fontId="3" numFmtId="0" xfId="0" applyAlignment="1" applyFont="1">
      <alignment vertical="bottom"/>
    </xf>
    <xf borderId="0" fillId="4" fontId="3" numFmtId="0" xfId="0" applyAlignment="1" applyFill="1" applyFont="1">
      <alignment vertical="bottom"/>
    </xf>
    <xf borderId="0" fillId="2" fontId="3" numFmtId="0" xfId="0" applyAlignment="1" applyFont="1">
      <alignment horizontal="center" readingOrder="0" vertical="bottom"/>
    </xf>
    <xf borderId="0" fillId="4" fontId="3" numFmtId="0" xfId="0" applyAlignment="1" applyFont="1">
      <alignment readingOrder="0" vertical="bottom"/>
    </xf>
    <xf borderId="0" fillId="2" fontId="1" numFmtId="0" xfId="0" applyAlignment="1" applyFont="1">
      <alignment readingOrder="0"/>
    </xf>
    <xf borderId="0" fillId="0" fontId="1" numFmtId="0" xfId="0" applyAlignment="1" applyFont="1">
      <alignment horizontal="center" readingOrder="0"/>
    </xf>
    <xf borderId="0" fillId="2" fontId="3" numFmtId="165" xfId="0" applyAlignment="1" applyFont="1" applyNumberFormat="1">
      <alignment horizontal="right" vertical="bottom"/>
    </xf>
    <xf borderId="0" fillId="0" fontId="1" numFmtId="0" xfId="0" applyAlignment="1" applyFont="1">
      <alignment horizontal="center"/>
    </xf>
    <xf borderId="0" fillId="0" fontId="1" numFmtId="166" xfId="0" applyAlignment="1" applyFont="1" applyNumberFormat="1">
      <alignment readingOrder="0"/>
    </xf>
    <xf borderId="0" fillId="0" fontId="4" numFmtId="0" xfId="0" applyAlignment="1" applyFont="1">
      <alignment horizontal="center" readingOrder="0"/>
    </xf>
    <xf quotePrefix="1" borderId="0" fillId="0" fontId="1" numFmtId="0" xfId="0" applyAlignment="1" applyFont="1">
      <alignment readingOrder="0"/>
    </xf>
    <xf borderId="0" fillId="0" fontId="1" numFmtId="166" xfId="0" applyAlignment="1" applyFont="1" applyNumberFormat="1">
      <alignment horizontal="center" readingOrder="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5" numFmtId="0" xfId="0" applyAlignment="1" applyFont="1">
      <alignment shrinkToFit="0" vertical="bottom" wrapText="0"/>
    </xf>
    <xf borderId="0" fillId="0" fontId="1" numFmtId="165" xfId="0" applyAlignment="1" applyFont="1" applyNumberFormat="1">
      <alignment readingOrder="0"/>
    </xf>
    <xf borderId="0" fillId="0" fontId="1" numFmtId="0" xfId="0" applyFont="1"/>
    <xf borderId="0" fillId="2" fontId="1" numFmtId="0" xfId="0" applyAlignment="1" applyFont="1">
      <alignment horizontal="center" readingOrder="0"/>
    </xf>
    <xf borderId="0" fillId="2" fontId="1" numFmtId="164" xfId="0" applyAlignment="1" applyFont="1" applyNumberFormat="1">
      <alignment horizontal="center" readingOrder="0"/>
    </xf>
    <xf borderId="0" fillId="2" fontId="1" numFmtId="164" xfId="0" applyAlignment="1" applyFont="1" applyNumberFormat="1">
      <alignment horizontal="center"/>
    </xf>
    <xf borderId="0" fillId="0" fontId="1" numFmtId="165" xfId="0" applyAlignment="1" applyFont="1" applyNumberFormat="1">
      <alignment horizontal="center" readingOrder="0"/>
    </xf>
    <xf borderId="0" fillId="0" fontId="1" numFmtId="164" xfId="0" applyAlignment="1" applyFont="1" applyNumberFormat="1">
      <alignment horizontal="center" readingOrder="0"/>
    </xf>
    <xf borderId="0" fillId="2" fontId="1" numFmtId="0" xfId="0" applyFont="1"/>
    <xf borderId="0" fillId="0" fontId="1" numFmtId="164"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aps.app.goo.gl/4MsyitoCVyw7hPZH7" TargetMode="External"/><Relationship Id="rId2" Type="http://schemas.openxmlformats.org/officeDocument/2006/relationships/hyperlink" Target="https://maps.app.goo.gl/jEDqWXrm5umNZFv67" TargetMode="External"/><Relationship Id="rId3" Type="http://schemas.openxmlformats.org/officeDocument/2006/relationships/hyperlink" Target="https://maps.app.goo.gl/8CsJDbjhr8jzRn4c6" TargetMode="External"/><Relationship Id="rId4" Type="http://schemas.openxmlformats.org/officeDocument/2006/relationships/hyperlink" Target="https://maps.app.goo.gl/c9Z1o4tKv97YGWdEA" TargetMode="External"/><Relationship Id="rId5" Type="http://schemas.openxmlformats.org/officeDocument/2006/relationships/hyperlink" Target="https://maps.app.goo.gl/N4WnNs4ewqXEnm3z7"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hatgpt.com/share/69868e20-40c4-8003-ae9d-72616182fb65"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hiphibrazuca.com/passeio-mercados-templos-bangkok-guia-portugues/" TargetMode="External"/><Relationship Id="rId2" Type="http://schemas.openxmlformats.org/officeDocument/2006/relationships/hyperlink" Target="https://phiphibrazuca.com/tailandia-hong-islands-krabi/" TargetMode="External"/><Relationship Id="rId3" Type="http://schemas.openxmlformats.org/officeDocument/2006/relationships/hyperlink" Target="https://www.getyourguide.com/pt-br/coron-l105241/coron-ultimate-tour-7-destinos-com-almoco-e-transferes-t880027/?ranking_uuid=66f05ec2-5ab3-41a4-9cb6-189afc92ddd9&amp;date_from=2026-03-21&amp;date_to=2026-03-21" TargetMode="External"/><Relationship Id="rId4" Type="http://schemas.openxmlformats.org/officeDocument/2006/relationships/hyperlink" Target="https://www.getyourguide.com/pt-br/quioto-l96826/quioto-kinkakuji-arashiyama-santuario-de-fushimi-inari-e-narapar-t179654?ranking_uuid=0c6ffce2-7dd0-48c5-8a1d-0bf5aa4af0d4&amp;date_from=2026-03-27&amp;_pc=1,2"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f>sum(B2:B1001)</f>
        <v>48343.8286</v>
      </c>
      <c r="C1" s="3">
        <f>80000-B1</f>
        <v>31656.1714</v>
      </c>
    </row>
    <row r="2">
      <c r="A2" s="1" t="s">
        <v>0</v>
      </c>
      <c r="B2" s="3">
        <f>Passagens!D1</f>
        <v>29582.9946</v>
      </c>
    </row>
    <row r="3">
      <c r="A3" s="1" t="s">
        <v>1</v>
      </c>
      <c r="B3" s="3">
        <f>Hotel!I2</f>
        <v>15387.2092</v>
      </c>
    </row>
    <row r="4">
      <c r="A4" s="1" t="s">
        <v>2</v>
      </c>
      <c r="B4" s="3">
        <f>Passeios!C1</f>
        <v>3373.6248</v>
      </c>
    </row>
    <row r="5">
      <c r="A5" s="1" t="s">
        <v>3</v>
      </c>
    </row>
    <row r="6">
      <c r="A6" s="1" t="s">
        <v>4</v>
      </c>
    </row>
    <row r="7">
      <c r="A7" s="1"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v>
      </c>
      <c r="B1" s="1" t="s">
        <v>7</v>
      </c>
    </row>
    <row r="2">
      <c r="A2" s="4" t="s">
        <v>8</v>
      </c>
      <c r="B2" s="1" t="s">
        <v>9</v>
      </c>
    </row>
    <row r="3">
      <c r="A3" s="4" t="s">
        <v>10</v>
      </c>
      <c r="B3" s="1" t="s">
        <v>11</v>
      </c>
    </row>
    <row r="4">
      <c r="A4" s="4" t="s">
        <v>12</v>
      </c>
      <c r="B4" s="1" t="s">
        <v>13</v>
      </c>
    </row>
    <row r="5">
      <c r="A5" s="4" t="s">
        <v>14</v>
      </c>
      <c r="B5" s="1" t="s">
        <v>15</v>
      </c>
    </row>
  </sheetData>
  <hyperlinks>
    <hyperlink r:id="rId1" ref="A1"/>
    <hyperlink r:id="rId2" ref="A2"/>
    <hyperlink r:id="rId3" ref="A3"/>
    <hyperlink r:id="rId4" ref="A4"/>
    <hyperlink r:id="rId5" ref="A5"/>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1.25"/>
    <col customWidth="1" min="5" max="6" width="7.88"/>
    <col customWidth="1" min="7" max="7" width="31.88"/>
    <col customWidth="1" min="8" max="8" width="21.63"/>
    <col customWidth="1" min="9" max="9" width="28.0"/>
    <col customWidth="1" min="10" max="10" width="46.25"/>
    <col customWidth="1" min="11" max="11" width="198.88"/>
    <col customWidth="1" min="15" max="15" width="19.63"/>
    <col customWidth="1" min="16" max="16" width="20.25"/>
  </cols>
  <sheetData>
    <row r="1">
      <c r="A1" s="5" t="s">
        <v>16</v>
      </c>
      <c r="B1" s="5" t="s">
        <v>17</v>
      </c>
      <c r="C1" s="5" t="s">
        <v>18</v>
      </c>
      <c r="D1" s="5" t="s">
        <v>19</v>
      </c>
      <c r="E1" s="5" t="s">
        <v>20</v>
      </c>
      <c r="F1" s="5" t="s">
        <v>21</v>
      </c>
      <c r="G1" s="5" t="s">
        <v>22</v>
      </c>
      <c r="H1" s="5" t="s">
        <v>23</v>
      </c>
      <c r="I1" s="5" t="s">
        <v>24</v>
      </c>
      <c r="J1" s="5" t="s">
        <v>25</v>
      </c>
      <c r="K1" s="5" t="s">
        <v>26</v>
      </c>
    </row>
    <row r="2">
      <c r="A2" s="6">
        <v>0.0</v>
      </c>
      <c r="B2" s="7">
        <v>46087.0</v>
      </c>
      <c r="C2" s="6">
        <v>6.0</v>
      </c>
      <c r="D2" s="8" t="s">
        <v>27</v>
      </c>
      <c r="E2" s="8" t="s">
        <v>27</v>
      </c>
      <c r="F2" s="8" t="s">
        <v>28</v>
      </c>
      <c r="G2" s="9" t="s">
        <v>29</v>
      </c>
      <c r="H2" s="1" t="s">
        <v>30</v>
      </c>
      <c r="I2" s="1" t="s">
        <v>31</v>
      </c>
      <c r="J2" s="1" t="s">
        <v>27</v>
      </c>
      <c r="K2" s="1" t="s">
        <v>27</v>
      </c>
    </row>
    <row r="3">
      <c r="A3" s="10">
        <v>1.0</v>
      </c>
      <c r="B3" s="11">
        <v>46088.0</v>
      </c>
      <c r="C3" s="10">
        <f t="shared" ref="C3:C32" si="1">WEEKDAY(B3)</f>
        <v>7</v>
      </c>
      <c r="D3" s="8" t="s">
        <v>27</v>
      </c>
      <c r="E3" s="8" t="s">
        <v>27</v>
      </c>
      <c r="F3" s="8" t="s">
        <v>28</v>
      </c>
      <c r="G3" s="12" t="s">
        <v>32</v>
      </c>
      <c r="H3" s="1" t="s">
        <v>33</v>
      </c>
      <c r="I3" s="1" t="s">
        <v>34</v>
      </c>
      <c r="J3" s="1" t="s">
        <v>27</v>
      </c>
      <c r="K3" s="1" t="s">
        <v>27</v>
      </c>
    </row>
    <row r="4">
      <c r="A4" s="10">
        <v>2.0</v>
      </c>
      <c r="B4" s="11">
        <v>46089.0</v>
      </c>
      <c r="C4" s="10">
        <f t="shared" si="1"/>
        <v>1</v>
      </c>
      <c r="D4" s="8" t="s">
        <v>27</v>
      </c>
      <c r="E4" s="8" t="s">
        <v>35</v>
      </c>
      <c r="F4" s="8"/>
      <c r="G4" s="13" t="s">
        <v>36</v>
      </c>
      <c r="H4" s="1" t="s">
        <v>37</v>
      </c>
      <c r="I4" s="1" t="s">
        <v>34</v>
      </c>
      <c r="J4" s="1" t="s">
        <v>38</v>
      </c>
      <c r="K4" s="1" t="s">
        <v>39</v>
      </c>
    </row>
    <row r="5">
      <c r="A5" s="10">
        <v>3.0</v>
      </c>
      <c r="B5" s="11">
        <v>46090.0</v>
      </c>
      <c r="C5" s="10">
        <f t="shared" si="1"/>
        <v>2</v>
      </c>
      <c r="D5" s="8" t="s">
        <v>40</v>
      </c>
      <c r="E5" s="8" t="s">
        <v>41</v>
      </c>
      <c r="F5" s="8"/>
      <c r="G5" s="12" t="s">
        <v>42</v>
      </c>
      <c r="H5" s="1" t="s">
        <v>27</v>
      </c>
      <c r="I5" s="1" t="s">
        <v>27</v>
      </c>
      <c r="J5" s="1" t="s">
        <v>38</v>
      </c>
      <c r="K5" s="1" t="s">
        <v>43</v>
      </c>
      <c r="L5" s="1" t="s">
        <v>44</v>
      </c>
    </row>
    <row r="6">
      <c r="A6" s="10">
        <v>4.0</v>
      </c>
      <c r="B6" s="11">
        <v>46091.0</v>
      </c>
      <c r="C6" s="10">
        <f t="shared" si="1"/>
        <v>3</v>
      </c>
      <c r="D6" s="8" t="s">
        <v>45</v>
      </c>
      <c r="E6" s="8" t="s">
        <v>41</v>
      </c>
      <c r="F6" s="8" t="s">
        <v>28</v>
      </c>
      <c r="G6" s="9" t="s">
        <v>46</v>
      </c>
      <c r="H6" s="1" t="s">
        <v>47</v>
      </c>
      <c r="I6" s="1" t="s">
        <v>48</v>
      </c>
      <c r="J6" s="1" t="s">
        <v>49</v>
      </c>
      <c r="K6" s="1" t="s">
        <v>50</v>
      </c>
    </row>
    <row r="7">
      <c r="A7" s="10">
        <v>5.0</v>
      </c>
      <c r="B7" s="11">
        <v>46092.0</v>
      </c>
      <c r="C7" s="10">
        <f t="shared" si="1"/>
        <v>4</v>
      </c>
      <c r="D7" s="8" t="s">
        <v>51</v>
      </c>
      <c r="E7" s="8" t="s">
        <v>41</v>
      </c>
      <c r="F7" s="8"/>
      <c r="G7" s="9" t="s">
        <v>52</v>
      </c>
      <c r="H7" s="1" t="s">
        <v>27</v>
      </c>
      <c r="I7" s="1" t="s">
        <v>27</v>
      </c>
      <c r="J7" s="1" t="s">
        <v>49</v>
      </c>
      <c r="K7" s="1" t="s">
        <v>53</v>
      </c>
    </row>
    <row r="8">
      <c r="A8" s="10">
        <v>6.0</v>
      </c>
      <c r="B8" s="11">
        <v>46093.0</v>
      </c>
      <c r="C8" s="10">
        <f t="shared" si="1"/>
        <v>5</v>
      </c>
      <c r="D8" s="8" t="s">
        <v>45</v>
      </c>
      <c r="E8" s="8" t="s">
        <v>54</v>
      </c>
      <c r="F8" s="8"/>
      <c r="G8" s="9" t="s">
        <v>55</v>
      </c>
      <c r="H8" s="1" t="s">
        <v>56</v>
      </c>
      <c r="I8" s="1" t="s">
        <v>57</v>
      </c>
      <c r="J8" s="1" t="s">
        <v>58</v>
      </c>
      <c r="K8" s="1" t="s">
        <v>59</v>
      </c>
    </row>
    <row r="9">
      <c r="A9" s="10">
        <v>7.0</v>
      </c>
      <c r="B9" s="11">
        <v>46094.0</v>
      </c>
      <c r="C9" s="10">
        <f t="shared" si="1"/>
        <v>6</v>
      </c>
      <c r="D9" s="14" t="s">
        <v>60</v>
      </c>
      <c r="E9" s="8" t="s">
        <v>61</v>
      </c>
      <c r="F9" s="8"/>
      <c r="G9" s="12" t="s">
        <v>62</v>
      </c>
      <c r="H9" s="1" t="s">
        <v>27</v>
      </c>
      <c r="I9" s="1" t="s">
        <v>27</v>
      </c>
      <c r="J9" s="1" t="s">
        <v>58</v>
      </c>
      <c r="K9" s="1" t="s">
        <v>63</v>
      </c>
      <c r="L9" s="4" t="s">
        <v>64</v>
      </c>
    </row>
    <row r="10">
      <c r="A10" s="10">
        <v>8.0</v>
      </c>
      <c r="B10" s="11">
        <v>46095.0</v>
      </c>
      <c r="C10" s="10">
        <f t="shared" si="1"/>
        <v>7</v>
      </c>
      <c r="D10" s="8" t="s">
        <v>65</v>
      </c>
      <c r="E10" s="8" t="s">
        <v>27</v>
      </c>
      <c r="F10" s="8" t="s">
        <v>28</v>
      </c>
      <c r="G10" s="15" t="s">
        <v>66</v>
      </c>
      <c r="H10" s="16" t="s">
        <v>67</v>
      </c>
      <c r="I10" s="1" t="s">
        <v>68</v>
      </c>
      <c r="J10" s="1" t="s">
        <v>27</v>
      </c>
      <c r="K10" s="1" t="s">
        <v>27</v>
      </c>
    </row>
    <row r="11">
      <c r="A11" s="10">
        <v>9.0</v>
      </c>
      <c r="B11" s="11">
        <v>46096.0</v>
      </c>
      <c r="C11" s="10">
        <f t="shared" si="1"/>
        <v>1</v>
      </c>
      <c r="D11" s="8" t="s">
        <v>27</v>
      </c>
      <c r="E11" s="8" t="s">
        <v>69</v>
      </c>
      <c r="F11" s="8" t="s">
        <v>28</v>
      </c>
      <c r="G11" s="13" t="s">
        <v>70</v>
      </c>
      <c r="H11" s="1" t="s">
        <v>71</v>
      </c>
      <c r="I11" s="1" t="s">
        <v>68</v>
      </c>
      <c r="J11" s="1" t="s">
        <v>72</v>
      </c>
      <c r="K11" s="1" t="s">
        <v>27</v>
      </c>
    </row>
    <row r="12">
      <c r="A12" s="10">
        <v>10.0</v>
      </c>
      <c r="B12" s="11">
        <v>46097.0</v>
      </c>
      <c r="C12" s="10">
        <f t="shared" si="1"/>
        <v>2</v>
      </c>
      <c r="D12" s="8" t="s">
        <v>45</v>
      </c>
      <c r="E12" s="8" t="s">
        <v>41</v>
      </c>
      <c r="F12" s="8"/>
      <c r="G12" s="12" t="s">
        <v>70</v>
      </c>
      <c r="H12" s="1" t="s">
        <v>27</v>
      </c>
      <c r="I12" s="1" t="s">
        <v>27</v>
      </c>
      <c r="J12" s="1" t="s">
        <v>72</v>
      </c>
      <c r="K12" s="1" t="s">
        <v>73</v>
      </c>
    </row>
    <row r="13">
      <c r="A13" s="10">
        <v>11.0</v>
      </c>
      <c r="B13" s="11">
        <v>46098.0</v>
      </c>
      <c r="C13" s="10">
        <f t="shared" si="1"/>
        <v>3</v>
      </c>
      <c r="D13" s="8" t="s">
        <v>51</v>
      </c>
      <c r="E13" s="8" t="s">
        <v>74</v>
      </c>
      <c r="F13" s="8" t="s">
        <v>28</v>
      </c>
      <c r="G13" s="15" t="s">
        <v>75</v>
      </c>
      <c r="H13" s="1" t="s">
        <v>76</v>
      </c>
      <c r="I13" s="1" t="s">
        <v>77</v>
      </c>
      <c r="J13" s="1" t="s">
        <v>78</v>
      </c>
      <c r="K13" s="1" t="s">
        <v>27</v>
      </c>
    </row>
    <row r="14">
      <c r="A14" s="10">
        <v>12.0</v>
      </c>
      <c r="B14" s="11">
        <v>46099.0</v>
      </c>
      <c r="C14" s="10">
        <f t="shared" si="1"/>
        <v>4</v>
      </c>
      <c r="D14" s="8" t="s">
        <v>51</v>
      </c>
      <c r="E14" s="8" t="s">
        <v>79</v>
      </c>
      <c r="F14" s="8"/>
      <c r="G14" s="12" t="s">
        <v>80</v>
      </c>
      <c r="J14" s="1" t="s">
        <v>81</v>
      </c>
      <c r="K14" s="1" t="s">
        <v>82</v>
      </c>
    </row>
    <row r="15">
      <c r="A15" s="10">
        <v>13.0</v>
      </c>
      <c r="B15" s="11">
        <v>46100.0</v>
      </c>
      <c r="C15" s="10">
        <f t="shared" si="1"/>
        <v>5</v>
      </c>
      <c r="D15" s="8" t="s">
        <v>51</v>
      </c>
      <c r="E15" s="8" t="s">
        <v>79</v>
      </c>
      <c r="F15" s="8"/>
      <c r="G15" s="12" t="s">
        <v>80</v>
      </c>
      <c r="J15" s="1" t="s">
        <v>83</v>
      </c>
      <c r="K15" s="1" t="s">
        <v>84</v>
      </c>
    </row>
    <row r="16">
      <c r="A16" s="10">
        <v>14.0</v>
      </c>
      <c r="B16" s="11">
        <v>46101.0</v>
      </c>
      <c r="C16" s="10">
        <f t="shared" si="1"/>
        <v>6</v>
      </c>
      <c r="D16" s="8" t="s">
        <v>85</v>
      </c>
      <c r="E16" s="8" t="s">
        <v>86</v>
      </c>
      <c r="F16" s="8"/>
      <c r="G16" s="9" t="s">
        <v>87</v>
      </c>
      <c r="H16" s="1" t="s">
        <v>88</v>
      </c>
      <c r="I16" s="1" t="s">
        <v>89</v>
      </c>
      <c r="J16" s="1" t="s">
        <v>90</v>
      </c>
      <c r="K16" s="1" t="s">
        <v>91</v>
      </c>
    </row>
    <row r="17">
      <c r="A17" s="10">
        <v>15.0</v>
      </c>
      <c r="B17" s="11">
        <v>46102.0</v>
      </c>
      <c r="C17" s="10">
        <f t="shared" si="1"/>
        <v>7</v>
      </c>
      <c r="D17" s="14" t="s">
        <v>92</v>
      </c>
      <c r="E17" s="8" t="s">
        <v>74</v>
      </c>
      <c r="F17" s="8"/>
      <c r="G17" s="9" t="s">
        <v>90</v>
      </c>
      <c r="H17" s="1" t="s">
        <v>27</v>
      </c>
      <c r="I17" s="1" t="s">
        <v>27</v>
      </c>
      <c r="J17" s="1" t="s">
        <v>90</v>
      </c>
      <c r="K17" s="1" t="s">
        <v>93</v>
      </c>
    </row>
    <row r="18">
      <c r="A18" s="10">
        <v>16.0</v>
      </c>
      <c r="B18" s="11">
        <v>46103.0</v>
      </c>
      <c r="C18" s="10">
        <f t="shared" si="1"/>
        <v>1</v>
      </c>
      <c r="D18" s="14" t="s">
        <v>94</v>
      </c>
      <c r="E18" s="8" t="s">
        <v>54</v>
      </c>
      <c r="F18" s="8"/>
      <c r="G18" s="9" t="s">
        <v>95</v>
      </c>
      <c r="H18" s="1" t="s">
        <v>96</v>
      </c>
      <c r="I18" s="1" t="s">
        <v>97</v>
      </c>
      <c r="J18" s="1" t="s">
        <v>98</v>
      </c>
      <c r="K18" s="1" t="s">
        <v>99</v>
      </c>
    </row>
    <row r="19">
      <c r="A19" s="10">
        <v>17.0</v>
      </c>
      <c r="B19" s="11">
        <v>46104.0</v>
      </c>
      <c r="C19" s="10">
        <f t="shared" si="1"/>
        <v>2</v>
      </c>
      <c r="D19" s="8" t="s">
        <v>45</v>
      </c>
      <c r="E19" s="8" t="s">
        <v>54</v>
      </c>
      <c r="F19" s="8"/>
      <c r="G19" s="12" t="s">
        <v>100</v>
      </c>
      <c r="H19" s="1" t="s">
        <v>27</v>
      </c>
      <c r="I19" s="1" t="s">
        <v>27</v>
      </c>
      <c r="J19" s="1" t="s">
        <v>98</v>
      </c>
      <c r="K19" s="1" t="s">
        <v>101</v>
      </c>
    </row>
    <row r="20">
      <c r="A20" s="10">
        <v>18.0</v>
      </c>
      <c r="B20" s="11">
        <v>46105.0</v>
      </c>
      <c r="C20" s="10">
        <f t="shared" si="1"/>
        <v>3</v>
      </c>
      <c r="D20" s="8" t="s">
        <v>51</v>
      </c>
      <c r="E20" s="8" t="s">
        <v>102</v>
      </c>
      <c r="F20" s="8"/>
      <c r="G20" s="9" t="s">
        <v>103</v>
      </c>
      <c r="H20" s="1" t="s">
        <v>104</v>
      </c>
      <c r="I20" s="1" t="s">
        <v>105</v>
      </c>
      <c r="J20" s="1" t="s">
        <v>106</v>
      </c>
      <c r="K20" s="1" t="s">
        <v>107</v>
      </c>
      <c r="L20" s="17" t="s">
        <v>108</v>
      </c>
    </row>
    <row r="21">
      <c r="A21" s="10">
        <v>19.0</v>
      </c>
      <c r="B21" s="18">
        <v>46106.0</v>
      </c>
      <c r="C21" s="10">
        <f t="shared" si="1"/>
        <v>4</v>
      </c>
      <c r="D21" s="8" t="s">
        <v>109</v>
      </c>
      <c r="E21" s="8" t="s">
        <v>110</v>
      </c>
      <c r="F21" s="8"/>
      <c r="G21" s="12" t="s">
        <v>111</v>
      </c>
      <c r="J21" s="1" t="s">
        <v>112</v>
      </c>
      <c r="K21" s="1" t="s">
        <v>111</v>
      </c>
      <c r="L21" s="1" t="s">
        <v>113</v>
      </c>
      <c r="M21" s="1" t="s">
        <v>114</v>
      </c>
      <c r="N21" s="1" t="s">
        <v>113</v>
      </c>
      <c r="O21" s="1" t="s">
        <v>115</v>
      </c>
      <c r="P21" s="1" t="s">
        <v>116</v>
      </c>
      <c r="Q21" s="1">
        <v>25.0</v>
      </c>
    </row>
    <row r="22">
      <c r="A22" s="10">
        <v>20.0</v>
      </c>
      <c r="B22" s="11">
        <v>46107.0</v>
      </c>
      <c r="C22" s="10">
        <f t="shared" si="1"/>
        <v>5</v>
      </c>
      <c r="D22" s="14" t="s">
        <v>117</v>
      </c>
      <c r="E22" s="8" t="s">
        <v>69</v>
      </c>
      <c r="F22" s="8"/>
      <c r="G22" s="12" t="s">
        <v>111</v>
      </c>
      <c r="J22" s="1" t="s">
        <v>112</v>
      </c>
      <c r="K22" s="1" t="s">
        <v>114</v>
      </c>
      <c r="L22" s="1" t="s">
        <v>114</v>
      </c>
      <c r="M22" s="1" t="s">
        <v>118</v>
      </c>
      <c r="N22" s="1" t="s">
        <v>113</v>
      </c>
      <c r="O22" s="1" t="s">
        <v>119</v>
      </c>
      <c r="P22" s="1" t="s">
        <v>120</v>
      </c>
      <c r="Q22" s="1">
        <v>26.0</v>
      </c>
    </row>
    <row r="23">
      <c r="A23" s="10">
        <v>21.0</v>
      </c>
      <c r="B23" s="18">
        <v>46108.0</v>
      </c>
      <c r="C23" s="10">
        <f t="shared" si="1"/>
        <v>6</v>
      </c>
      <c r="D23" s="14" t="s">
        <v>121</v>
      </c>
      <c r="E23" s="8" t="s">
        <v>74</v>
      </c>
      <c r="F23" s="8"/>
      <c r="G23" s="12" t="s">
        <v>111</v>
      </c>
      <c r="J23" s="1" t="s">
        <v>122</v>
      </c>
      <c r="K23" s="1" t="s">
        <v>123</v>
      </c>
      <c r="L23" s="1" t="s">
        <v>118</v>
      </c>
      <c r="M23" s="1" t="s">
        <v>119</v>
      </c>
      <c r="N23" s="1" t="s">
        <v>114</v>
      </c>
      <c r="O23" s="1" t="s">
        <v>124</v>
      </c>
      <c r="P23" s="1" t="s">
        <v>125</v>
      </c>
      <c r="Q23" s="1">
        <v>27.0</v>
      </c>
    </row>
    <row r="24">
      <c r="A24" s="10">
        <v>22.0</v>
      </c>
      <c r="B24" s="18">
        <v>46109.0</v>
      </c>
      <c r="C24" s="10">
        <f t="shared" si="1"/>
        <v>7</v>
      </c>
      <c r="D24" s="8" t="s">
        <v>126</v>
      </c>
      <c r="E24" s="8" t="s">
        <v>127</v>
      </c>
      <c r="F24" s="8"/>
      <c r="G24" s="12" t="s">
        <v>111</v>
      </c>
      <c r="L24" s="1" t="s">
        <v>119</v>
      </c>
      <c r="M24" s="1" t="s">
        <v>128</v>
      </c>
      <c r="N24" s="1" t="s">
        <v>129</v>
      </c>
      <c r="O24" s="1" t="s">
        <v>130</v>
      </c>
      <c r="P24" s="1" t="s">
        <v>131</v>
      </c>
      <c r="Q24" s="1">
        <v>28.0</v>
      </c>
    </row>
    <row r="25">
      <c r="A25" s="10">
        <v>23.0</v>
      </c>
      <c r="B25" s="11">
        <v>46110.0</v>
      </c>
      <c r="C25" s="10">
        <f t="shared" si="1"/>
        <v>1</v>
      </c>
      <c r="D25" s="8" t="s">
        <v>126</v>
      </c>
      <c r="E25" s="8" t="s">
        <v>132</v>
      </c>
      <c r="F25" s="8"/>
      <c r="G25" s="12" t="s">
        <v>111</v>
      </c>
      <c r="J25" s="1" t="s">
        <v>133</v>
      </c>
      <c r="K25" s="1" t="s">
        <v>118</v>
      </c>
      <c r="L25" s="1" t="s">
        <v>128</v>
      </c>
      <c r="M25" s="1" t="s">
        <v>130</v>
      </c>
      <c r="N25" s="1" t="s">
        <v>134</v>
      </c>
      <c r="O25" s="1" t="s">
        <v>135</v>
      </c>
      <c r="P25" s="1" t="s">
        <v>136</v>
      </c>
      <c r="Q25" s="1">
        <v>29.0</v>
      </c>
    </row>
    <row r="26">
      <c r="A26" s="10">
        <v>24.0</v>
      </c>
      <c r="B26" s="11">
        <v>46111.0</v>
      </c>
      <c r="C26" s="10">
        <f t="shared" si="1"/>
        <v>2</v>
      </c>
      <c r="D26" s="8" t="s">
        <v>45</v>
      </c>
      <c r="E26" s="8" t="s">
        <v>74</v>
      </c>
      <c r="F26" s="8"/>
      <c r="G26" s="12" t="s">
        <v>111</v>
      </c>
      <c r="J26" s="1" t="s">
        <v>133</v>
      </c>
      <c r="K26" s="1" t="s">
        <v>119</v>
      </c>
      <c r="L26" s="1" t="s">
        <v>130</v>
      </c>
      <c r="M26" s="1" t="s">
        <v>113</v>
      </c>
      <c r="N26" s="1" t="s">
        <v>119</v>
      </c>
      <c r="O26" s="1" t="s">
        <v>114</v>
      </c>
      <c r="P26" s="1" t="s">
        <v>137</v>
      </c>
      <c r="Q26" s="1">
        <v>30.0</v>
      </c>
    </row>
    <row r="27">
      <c r="A27" s="10">
        <v>25.0</v>
      </c>
      <c r="B27" s="11">
        <v>46112.0</v>
      </c>
      <c r="C27" s="10">
        <f t="shared" si="1"/>
        <v>3</v>
      </c>
      <c r="D27" s="8" t="s">
        <v>138</v>
      </c>
      <c r="E27" s="8" t="s">
        <v>127</v>
      </c>
      <c r="F27" s="8"/>
      <c r="G27" s="12" t="s">
        <v>111</v>
      </c>
      <c r="J27" s="1" t="s">
        <v>139</v>
      </c>
      <c r="K27" s="1" t="s">
        <v>128</v>
      </c>
      <c r="L27" s="1" t="s">
        <v>113</v>
      </c>
      <c r="M27" s="1" t="s">
        <v>113</v>
      </c>
      <c r="N27" s="1" t="s">
        <v>140</v>
      </c>
      <c r="O27" s="1" t="s">
        <v>135</v>
      </c>
      <c r="P27" s="1" t="s">
        <v>141</v>
      </c>
      <c r="Q27" s="1">
        <v>31.0</v>
      </c>
    </row>
    <row r="28">
      <c r="A28" s="10">
        <v>26.0</v>
      </c>
      <c r="B28" s="11">
        <v>46113.0</v>
      </c>
      <c r="C28" s="10">
        <f t="shared" si="1"/>
        <v>4</v>
      </c>
      <c r="D28" s="8" t="s">
        <v>138</v>
      </c>
      <c r="E28" s="8" t="s">
        <v>27</v>
      </c>
      <c r="F28" s="8"/>
      <c r="G28" s="12" t="s">
        <v>111</v>
      </c>
      <c r="H28" s="1" t="s">
        <v>142</v>
      </c>
      <c r="J28" s="1" t="s">
        <v>27</v>
      </c>
      <c r="K28" s="1" t="s">
        <v>143</v>
      </c>
      <c r="L28" s="16" t="s">
        <v>123</v>
      </c>
      <c r="M28" s="16" t="s">
        <v>123</v>
      </c>
      <c r="N28" s="16" t="s">
        <v>123</v>
      </c>
      <c r="O28" s="16" t="s">
        <v>123</v>
      </c>
      <c r="P28" s="1" t="s">
        <v>116</v>
      </c>
      <c r="Q28" s="1">
        <v>1.0</v>
      </c>
    </row>
    <row r="29">
      <c r="A29" s="10">
        <v>27.0</v>
      </c>
      <c r="B29" s="11">
        <v>46114.0</v>
      </c>
      <c r="C29" s="10">
        <f t="shared" si="1"/>
        <v>5</v>
      </c>
      <c r="D29" s="8" t="s">
        <v>27</v>
      </c>
      <c r="E29" s="8" t="s">
        <v>74</v>
      </c>
      <c r="F29" s="8"/>
      <c r="G29" s="15" t="s">
        <v>144</v>
      </c>
      <c r="H29" s="1" t="s">
        <v>145</v>
      </c>
      <c r="I29" s="1" t="s">
        <v>146</v>
      </c>
      <c r="K29" s="1" t="s">
        <v>147</v>
      </c>
    </row>
    <row r="30">
      <c r="A30" s="10">
        <v>28.0</v>
      </c>
      <c r="B30" s="11">
        <v>46115.0</v>
      </c>
      <c r="C30" s="10">
        <f t="shared" si="1"/>
        <v>6</v>
      </c>
      <c r="D30" s="8" t="s">
        <v>138</v>
      </c>
      <c r="E30" s="8" t="s">
        <v>74</v>
      </c>
      <c r="F30" s="8"/>
      <c r="G30" s="9" t="s">
        <v>148</v>
      </c>
      <c r="K30" s="1" t="s">
        <v>149</v>
      </c>
    </row>
    <row r="31">
      <c r="A31" s="10">
        <v>29.0</v>
      </c>
      <c r="B31" s="11">
        <v>46116.0</v>
      </c>
      <c r="C31" s="10">
        <f t="shared" si="1"/>
        <v>7</v>
      </c>
      <c r="D31" s="8" t="s">
        <v>40</v>
      </c>
      <c r="E31" s="8" t="s">
        <v>27</v>
      </c>
      <c r="F31" s="8"/>
      <c r="G31" s="15" t="s">
        <v>150</v>
      </c>
      <c r="H31" s="1" t="s">
        <v>151</v>
      </c>
      <c r="I31" s="1" t="s">
        <v>146</v>
      </c>
      <c r="K31" s="1" t="s">
        <v>152</v>
      </c>
    </row>
    <row r="32">
      <c r="A32" s="10">
        <v>30.0</v>
      </c>
      <c r="B32" s="11">
        <v>46117.0</v>
      </c>
      <c r="C32" s="10">
        <f t="shared" si="1"/>
        <v>1</v>
      </c>
      <c r="D32" s="8" t="s">
        <v>27</v>
      </c>
      <c r="E32" s="8" t="s">
        <v>27</v>
      </c>
      <c r="F32" s="8" t="s">
        <v>28</v>
      </c>
      <c r="G32" s="12" t="s">
        <v>153</v>
      </c>
      <c r="I32" s="1" t="s">
        <v>154</v>
      </c>
      <c r="K32" s="1" t="s">
        <v>155</v>
      </c>
    </row>
    <row r="33">
      <c r="D33" s="19"/>
      <c r="E33" s="19"/>
      <c r="F33" s="19"/>
    </row>
    <row r="34">
      <c r="D34" s="19"/>
      <c r="E34" s="19"/>
      <c r="F34" s="19"/>
    </row>
    <row r="35">
      <c r="D35" s="19"/>
      <c r="E35" s="19"/>
      <c r="F35" s="19"/>
    </row>
    <row r="36">
      <c r="D36" s="19"/>
      <c r="E36" s="19"/>
      <c r="F36" s="19"/>
    </row>
    <row r="37">
      <c r="D37" s="19"/>
      <c r="E37" s="19"/>
      <c r="F37" s="19"/>
    </row>
    <row r="38">
      <c r="D38" s="19"/>
      <c r="E38" s="19"/>
      <c r="F38" s="19"/>
    </row>
    <row r="39">
      <c r="D39" s="19"/>
      <c r="E39" s="19"/>
      <c r="F39" s="19"/>
    </row>
    <row r="40">
      <c r="D40" s="19"/>
      <c r="E40" s="19"/>
      <c r="F40" s="19"/>
    </row>
    <row r="41">
      <c r="D41" s="19"/>
      <c r="E41" s="19"/>
      <c r="F41" s="19"/>
    </row>
    <row r="42">
      <c r="D42" s="19"/>
      <c r="E42" s="19"/>
      <c r="F42" s="19"/>
    </row>
    <row r="43">
      <c r="D43" s="19"/>
      <c r="E43" s="19"/>
      <c r="F43" s="19"/>
    </row>
    <row r="44">
      <c r="D44" s="19"/>
      <c r="E44" s="19"/>
      <c r="F44" s="19"/>
    </row>
    <row r="45">
      <c r="D45" s="19"/>
      <c r="E45" s="19"/>
      <c r="F45" s="19"/>
    </row>
    <row r="46">
      <c r="D46" s="19"/>
      <c r="E46" s="19"/>
      <c r="F46" s="19"/>
    </row>
    <row r="47">
      <c r="D47" s="19"/>
      <c r="E47" s="19"/>
      <c r="F47" s="19"/>
    </row>
    <row r="48">
      <c r="D48" s="19"/>
      <c r="E48" s="19"/>
      <c r="F48" s="19"/>
    </row>
    <row r="49">
      <c r="D49" s="19"/>
      <c r="E49" s="19"/>
      <c r="F49" s="19"/>
    </row>
    <row r="50">
      <c r="D50" s="19"/>
      <c r="E50" s="19"/>
      <c r="F50" s="19"/>
    </row>
    <row r="51">
      <c r="D51" s="19"/>
      <c r="E51" s="19"/>
      <c r="F51" s="19"/>
    </row>
    <row r="52">
      <c r="D52" s="19"/>
      <c r="E52" s="19"/>
      <c r="F52" s="19"/>
    </row>
    <row r="53">
      <c r="D53" s="19"/>
      <c r="E53" s="19"/>
      <c r="F53" s="19"/>
    </row>
    <row r="54">
      <c r="D54" s="19"/>
      <c r="E54" s="19"/>
      <c r="F54" s="19"/>
    </row>
    <row r="55">
      <c r="D55" s="19"/>
      <c r="E55" s="19"/>
      <c r="F55" s="19"/>
    </row>
    <row r="56">
      <c r="D56" s="19"/>
      <c r="E56" s="19"/>
      <c r="F56" s="19"/>
    </row>
    <row r="57">
      <c r="D57" s="19"/>
      <c r="E57" s="19"/>
      <c r="F57" s="19"/>
    </row>
    <row r="58">
      <c r="D58" s="19"/>
      <c r="E58" s="19"/>
      <c r="F58" s="19"/>
    </row>
    <row r="59">
      <c r="D59" s="19"/>
      <c r="E59" s="19"/>
      <c r="F59" s="19"/>
    </row>
    <row r="60">
      <c r="D60" s="19"/>
      <c r="E60" s="19"/>
      <c r="F60" s="19"/>
    </row>
    <row r="61">
      <c r="D61" s="19"/>
      <c r="E61" s="19"/>
      <c r="F61" s="19"/>
    </row>
    <row r="62">
      <c r="D62" s="19"/>
      <c r="E62" s="19"/>
      <c r="F62" s="19"/>
    </row>
    <row r="63">
      <c r="D63" s="19"/>
      <c r="E63" s="19"/>
      <c r="F63" s="19"/>
    </row>
    <row r="64">
      <c r="D64" s="19"/>
      <c r="E64" s="19"/>
      <c r="F64" s="19"/>
    </row>
    <row r="65">
      <c r="D65" s="19"/>
      <c r="E65" s="19"/>
      <c r="F65" s="19"/>
    </row>
    <row r="66">
      <c r="D66" s="19"/>
      <c r="E66" s="19"/>
      <c r="F66" s="19"/>
    </row>
    <row r="67">
      <c r="D67" s="19"/>
      <c r="E67" s="19"/>
      <c r="F67" s="19"/>
    </row>
    <row r="68">
      <c r="D68" s="19"/>
      <c r="E68" s="19"/>
      <c r="F68" s="19"/>
    </row>
    <row r="69">
      <c r="D69" s="19"/>
      <c r="E69" s="19"/>
      <c r="F69" s="19"/>
    </row>
    <row r="70">
      <c r="D70" s="19"/>
      <c r="E70" s="19"/>
      <c r="F70" s="19"/>
    </row>
    <row r="71">
      <c r="D71" s="19"/>
      <c r="E71" s="19"/>
      <c r="F71" s="19"/>
    </row>
    <row r="72">
      <c r="D72" s="19"/>
      <c r="E72" s="19"/>
      <c r="F72" s="19"/>
    </row>
    <row r="73">
      <c r="D73" s="19"/>
      <c r="E73" s="19"/>
      <c r="F73" s="19"/>
    </row>
    <row r="74">
      <c r="D74" s="19"/>
      <c r="E74" s="19"/>
      <c r="F74" s="19"/>
    </row>
    <row r="75">
      <c r="D75" s="19"/>
      <c r="E75" s="19"/>
      <c r="F75" s="19"/>
    </row>
    <row r="76">
      <c r="D76" s="19"/>
      <c r="E76" s="19"/>
      <c r="F76" s="19"/>
    </row>
    <row r="77">
      <c r="D77" s="19"/>
      <c r="E77" s="19"/>
      <c r="F77" s="19"/>
    </row>
    <row r="78">
      <c r="D78" s="19"/>
      <c r="E78" s="19"/>
      <c r="F78" s="19"/>
    </row>
    <row r="79">
      <c r="D79" s="19"/>
      <c r="E79" s="19"/>
      <c r="F79" s="19"/>
    </row>
    <row r="80">
      <c r="D80" s="19"/>
      <c r="E80" s="19"/>
      <c r="F80" s="19"/>
    </row>
    <row r="81">
      <c r="D81" s="19"/>
      <c r="E81" s="19"/>
      <c r="F81" s="19"/>
    </row>
    <row r="82">
      <c r="D82" s="19"/>
      <c r="E82" s="19"/>
      <c r="F82" s="19"/>
    </row>
    <row r="83">
      <c r="D83" s="19"/>
      <c r="E83" s="19"/>
      <c r="F83" s="19"/>
    </row>
    <row r="84">
      <c r="D84" s="19"/>
      <c r="E84" s="19"/>
      <c r="F84" s="19"/>
    </row>
    <row r="85">
      <c r="D85" s="19"/>
      <c r="E85" s="19"/>
      <c r="F85" s="19"/>
    </row>
    <row r="86">
      <c r="D86" s="19"/>
      <c r="E86" s="19"/>
      <c r="F86" s="19"/>
    </row>
    <row r="87">
      <c r="D87" s="19"/>
      <c r="E87" s="19"/>
      <c r="F87" s="19"/>
    </row>
    <row r="88">
      <c r="D88" s="19"/>
      <c r="E88" s="19"/>
      <c r="F88" s="19"/>
    </row>
    <row r="89">
      <c r="D89" s="19"/>
      <c r="E89" s="19"/>
      <c r="F89" s="19"/>
    </row>
    <row r="90">
      <c r="D90" s="19"/>
      <c r="E90" s="19"/>
      <c r="F90" s="19"/>
    </row>
    <row r="91">
      <c r="D91" s="19"/>
      <c r="E91" s="19"/>
      <c r="F91" s="19"/>
    </row>
    <row r="92">
      <c r="D92" s="19"/>
      <c r="E92" s="19"/>
      <c r="F92" s="19"/>
    </row>
    <row r="93">
      <c r="D93" s="19"/>
      <c r="E93" s="19"/>
      <c r="F93" s="19"/>
    </row>
    <row r="94">
      <c r="D94" s="19"/>
      <c r="E94" s="19"/>
      <c r="F94" s="19"/>
    </row>
    <row r="95">
      <c r="D95" s="19"/>
      <c r="E95" s="19"/>
      <c r="F95" s="19"/>
    </row>
    <row r="96">
      <c r="D96" s="19"/>
      <c r="E96" s="19"/>
      <c r="F96" s="19"/>
    </row>
    <row r="97">
      <c r="D97" s="19"/>
      <c r="E97" s="19"/>
      <c r="F97" s="19"/>
    </row>
    <row r="98">
      <c r="D98" s="19"/>
      <c r="E98" s="19"/>
      <c r="F98" s="19"/>
    </row>
    <row r="99">
      <c r="D99" s="19"/>
      <c r="E99" s="19"/>
      <c r="F99" s="19"/>
    </row>
    <row r="100">
      <c r="D100" s="19"/>
      <c r="E100" s="19"/>
      <c r="F100" s="19"/>
    </row>
    <row r="101">
      <c r="D101" s="19"/>
      <c r="E101" s="19"/>
      <c r="F101" s="19"/>
    </row>
    <row r="102">
      <c r="D102" s="19"/>
      <c r="E102" s="19"/>
      <c r="F102" s="19"/>
    </row>
    <row r="103">
      <c r="D103" s="19"/>
      <c r="E103" s="19"/>
      <c r="F103" s="19"/>
    </row>
    <row r="104">
      <c r="D104" s="19"/>
      <c r="E104" s="19"/>
      <c r="F104" s="19"/>
    </row>
    <row r="105">
      <c r="D105" s="19"/>
      <c r="E105" s="19"/>
      <c r="F105" s="19"/>
    </row>
    <row r="106">
      <c r="D106" s="19"/>
      <c r="E106" s="19"/>
      <c r="F106" s="19"/>
    </row>
    <row r="107">
      <c r="D107" s="19"/>
      <c r="E107" s="19"/>
      <c r="F107" s="19"/>
    </row>
    <row r="108">
      <c r="D108" s="19"/>
      <c r="E108" s="19"/>
      <c r="F108" s="19"/>
    </row>
    <row r="109">
      <c r="D109" s="19"/>
      <c r="E109" s="19"/>
      <c r="F109" s="19"/>
    </row>
    <row r="110">
      <c r="D110" s="19"/>
      <c r="E110" s="19"/>
      <c r="F110" s="19"/>
    </row>
    <row r="111">
      <c r="D111" s="19"/>
      <c r="E111" s="19"/>
      <c r="F111" s="19"/>
    </row>
    <row r="112">
      <c r="D112" s="19"/>
      <c r="E112" s="19"/>
      <c r="F112" s="19"/>
    </row>
    <row r="113">
      <c r="D113" s="19"/>
      <c r="E113" s="19"/>
      <c r="F113" s="19"/>
    </row>
    <row r="114">
      <c r="D114" s="19"/>
      <c r="E114" s="19"/>
      <c r="F114" s="19"/>
    </row>
    <row r="115">
      <c r="D115" s="19"/>
      <c r="E115" s="19"/>
      <c r="F115" s="19"/>
    </row>
    <row r="116">
      <c r="D116" s="19"/>
      <c r="E116" s="19"/>
      <c r="F116" s="19"/>
    </row>
    <row r="117">
      <c r="D117" s="19"/>
      <c r="E117" s="19"/>
      <c r="F117" s="19"/>
    </row>
    <row r="118">
      <c r="D118" s="19"/>
      <c r="E118" s="19"/>
      <c r="F118" s="19"/>
    </row>
    <row r="119">
      <c r="D119" s="19"/>
      <c r="E119" s="19"/>
      <c r="F119" s="19"/>
    </row>
    <row r="120">
      <c r="D120" s="19"/>
      <c r="E120" s="19"/>
      <c r="F120" s="19"/>
    </row>
    <row r="121">
      <c r="D121" s="19"/>
      <c r="E121" s="19"/>
      <c r="F121" s="19"/>
    </row>
    <row r="122">
      <c r="D122" s="19"/>
      <c r="E122" s="19"/>
      <c r="F122" s="19"/>
    </row>
    <row r="123">
      <c r="D123" s="19"/>
      <c r="E123" s="19"/>
      <c r="F123" s="19"/>
    </row>
    <row r="124">
      <c r="D124" s="19"/>
      <c r="E124" s="19"/>
      <c r="F124" s="19"/>
    </row>
    <row r="125">
      <c r="D125" s="19"/>
      <c r="E125" s="19"/>
      <c r="F125" s="19"/>
    </row>
    <row r="126">
      <c r="D126" s="19"/>
      <c r="E126" s="19"/>
      <c r="F126" s="19"/>
    </row>
    <row r="127">
      <c r="D127" s="19"/>
      <c r="E127" s="19"/>
      <c r="F127" s="19"/>
    </row>
    <row r="128">
      <c r="D128" s="19"/>
      <c r="E128" s="19"/>
      <c r="F128" s="19"/>
    </row>
    <row r="129">
      <c r="D129" s="19"/>
      <c r="E129" s="19"/>
      <c r="F129" s="19"/>
    </row>
    <row r="130">
      <c r="D130" s="19"/>
      <c r="E130" s="19"/>
      <c r="F130" s="19"/>
    </row>
    <row r="131">
      <c r="D131" s="19"/>
      <c r="E131" s="19"/>
      <c r="F131" s="19"/>
    </row>
    <row r="132">
      <c r="D132" s="19"/>
      <c r="E132" s="19"/>
      <c r="F132" s="19"/>
    </row>
    <row r="133">
      <c r="D133" s="19"/>
      <c r="E133" s="19"/>
      <c r="F133" s="19"/>
    </row>
    <row r="134">
      <c r="D134" s="19"/>
      <c r="E134" s="19"/>
      <c r="F134" s="19"/>
    </row>
    <row r="135">
      <c r="D135" s="19"/>
      <c r="E135" s="19"/>
      <c r="F135" s="19"/>
    </row>
    <row r="136">
      <c r="D136" s="19"/>
      <c r="E136" s="19"/>
      <c r="F136" s="19"/>
    </row>
    <row r="137">
      <c r="D137" s="19"/>
      <c r="E137" s="19"/>
      <c r="F137" s="19"/>
    </row>
    <row r="138">
      <c r="D138" s="19"/>
      <c r="E138" s="19"/>
      <c r="F138" s="19"/>
    </row>
    <row r="139">
      <c r="D139" s="19"/>
      <c r="E139" s="19"/>
      <c r="F139" s="19"/>
    </row>
    <row r="140">
      <c r="D140" s="19"/>
      <c r="E140" s="19"/>
      <c r="F140" s="19"/>
    </row>
    <row r="141">
      <c r="D141" s="19"/>
      <c r="E141" s="19"/>
      <c r="F141" s="19"/>
    </row>
    <row r="142">
      <c r="D142" s="19"/>
      <c r="E142" s="19"/>
      <c r="F142" s="19"/>
    </row>
    <row r="143">
      <c r="D143" s="19"/>
      <c r="E143" s="19"/>
      <c r="F143" s="19"/>
    </row>
    <row r="144">
      <c r="D144" s="19"/>
      <c r="E144" s="19"/>
      <c r="F144" s="19"/>
    </row>
    <row r="145">
      <c r="D145" s="19"/>
      <c r="E145" s="19"/>
      <c r="F145" s="19"/>
    </row>
    <row r="146">
      <c r="D146" s="19"/>
      <c r="E146" s="19"/>
      <c r="F146" s="19"/>
    </row>
    <row r="147">
      <c r="D147" s="19"/>
      <c r="E147" s="19"/>
      <c r="F147" s="19"/>
    </row>
    <row r="148">
      <c r="D148" s="19"/>
      <c r="E148" s="19"/>
      <c r="F148" s="19"/>
    </row>
    <row r="149">
      <c r="D149" s="19"/>
      <c r="E149" s="19"/>
      <c r="F149" s="19"/>
    </row>
    <row r="150">
      <c r="D150" s="19"/>
      <c r="E150" s="19"/>
      <c r="F150" s="19"/>
    </row>
    <row r="151">
      <c r="D151" s="19"/>
      <c r="E151" s="19"/>
      <c r="F151" s="19"/>
    </row>
    <row r="152">
      <c r="D152" s="19"/>
      <c r="E152" s="19"/>
      <c r="F152" s="19"/>
    </row>
    <row r="153">
      <c r="D153" s="19"/>
      <c r="E153" s="19"/>
      <c r="F153" s="19"/>
    </row>
    <row r="154">
      <c r="D154" s="19"/>
      <c r="E154" s="19"/>
      <c r="F154" s="19"/>
    </row>
    <row r="155">
      <c r="D155" s="19"/>
      <c r="E155" s="19"/>
      <c r="F155" s="19"/>
    </row>
    <row r="156">
      <c r="D156" s="19"/>
      <c r="E156" s="19"/>
      <c r="F156" s="19"/>
    </row>
    <row r="157">
      <c r="D157" s="19"/>
      <c r="E157" s="19"/>
      <c r="F157" s="19"/>
    </row>
    <row r="158">
      <c r="D158" s="19"/>
      <c r="E158" s="19"/>
      <c r="F158" s="19"/>
    </row>
    <row r="159">
      <c r="D159" s="19"/>
      <c r="E159" s="19"/>
      <c r="F159" s="19"/>
    </row>
    <row r="160">
      <c r="D160" s="19"/>
      <c r="E160" s="19"/>
      <c r="F160" s="19"/>
    </row>
    <row r="161">
      <c r="D161" s="19"/>
      <c r="E161" s="19"/>
      <c r="F161" s="19"/>
    </row>
    <row r="162">
      <c r="D162" s="19"/>
      <c r="E162" s="19"/>
      <c r="F162" s="19"/>
    </row>
    <row r="163">
      <c r="D163" s="19"/>
      <c r="E163" s="19"/>
      <c r="F163" s="19"/>
    </row>
    <row r="164">
      <c r="D164" s="19"/>
      <c r="E164" s="19"/>
      <c r="F164" s="19"/>
    </row>
    <row r="165">
      <c r="D165" s="19"/>
      <c r="E165" s="19"/>
      <c r="F165" s="19"/>
    </row>
    <row r="166">
      <c r="D166" s="19"/>
      <c r="E166" s="19"/>
      <c r="F166" s="19"/>
    </row>
    <row r="167">
      <c r="D167" s="19"/>
      <c r="E167" s="19"/>
      <c r="F167" s="19"/>
    </row>
    <row r="168">
      <c r="D168" s="19"/>
      <c r="E168" s="19"/>
      <c r="F168" s="19"/>
    </row>
    <row r="169">
      <c r="D169" s="19"/>
      <c r="E169" s="19"/>
      <c r="F169" s="19"/>
    </row>
    <row r="170">
      <c r="D170" s="19"/>
      <c r="E170" s="19"/>
      <c r="F170" s="19"/>
    </row>
    <row r="171">
      <c r="D171" s="19"/>
      <c r="E171" s="19"/>
      <c r="F171" s="19"/>
    </row>
    <row r="172">
      <c r="D172" s="19"/>
      <c r="E172" s="19"/>
      <c r="F172" s="19"/>
    </row>
    <row r="173">
      <c r="D173" s="19"/>
      <c r="E173" s="19"/>
      <c r="F173" s="19"/>
    </row>
    <row r="174">
      <c r="D174" s="19"/>
      <c r="E174" s="19"/>
      <c r="F174" s="19"/>
    </row>
    <row r="175">
      <c r="D175" s="19"/>
      <c r="E175" s="19"/>
      <c r="F175" s="19"/>
    </row>
    <row r="176">
      <c r="D176" s="19"/>
      <c r="E176" s="19"/>
      <c r="F176" s="19"/>
    </row>
    <row r="177">
      <c r="D177" s="19"/>
      <c r="E177" s="19"/>
      <c r="F177" s="19"/>
    </row>
    <row r="178">
      <c r="D178" s="19"/>
      <c r="E178" s="19"/>
      <c r="F178" s="19"/>
    </row>
    <row r="179">
      <c r="D179" s="19"/>
      <c r="E179" s="19"/>
      <c r="F179" s="19"/>
    </row>
    <row r="180">
      <c r="D180" s="19"/>
      <c r="E180" s="19"/>
      <c r="F180" s="19"/>
    </row>
    <row r="181">
      <c r="D181" s="19"/>
      <c r="E181" s="19"/>
      <c r="F181" s="19"/>
    </row>
    <row r="182">
      <c r="D182" s="19"/>
      <c r="E182" s="19"/>
      <c r="F182" s="19"/>
    </row>
    <row r="183">
      <c r="D183" s="19"/>
      <c r="E183" s="19"/>
      <c r="F183" s="19"/>
    </row>
    <row r="184">
      <c r="D184" s="19"/>
      <c r="E184" s="19"/>
      <c r="F184" s="19"/>
    </row>
    <row r="185">
      <c r="D185" s="19"/>
      <c r="E185" s="19"/>
      <c r="F185" s="19"/>
    </row>
    <row r="186">
      <c r="D186" s="19"/>
      <c r="E186" s="19"/>
      <c r="F186" s="19"/>
    </row>
    <row r="187">
      <c r="D187" s="19"/>
      <c r="E187" s="19"/>
      <c r="F187" s="19"/>
    </row>
    <row r="188">
      <c r="D188" s="19"/>
      <c r="E188" s="19"/>
      <c r="F188" s="19"/>
    </row>
    <row r="189">
      <c r="D189" s="19"/>
      <c r="E189" s="19"/>
      <c r="F189" s="19"/>
    </row>
    <row r="190">
      <c r="D190" s="19"/>
      <c r="E190" s="19"/>
      <c r="F190" s="19"/>
    </row>
    <row r="191">
      <c r="D191" s="19"/>
      <c r="E191" s="19"/>
      <c r="F191" s="19"/>
    </row>
    <row r="192">
      <c r="D192" s="19"/>
      <c r="E192" s="19"/>
      <c r="F192" s="19"/>
    </row>
    <row r="193">
      <c r="D193" s="19"/>
      <c r="E193" s="19"/>
      <c r="F193" s="19"/>
    </row>
    <row r="194">
      <c r="D194" s="19"/>
      <c r="E194" s="19"/>
      <c r="F194" s="19"/>
    </row>
    <row r="195">
      <c r="D195" s="19"/>
      <c r="E195" s="19"/>
      <c r="F195" s="19"/>
    </row>
    <row r="196">
      <c r="D196" s="19"/>
      <c r="E196" s="19"/>
      <c r="F196" s="19"/>
    </row>
    <row r="197">
      <c r="D197" s="19"/>
      <c r="E197" s="19"/>
      <c r="F197" s="19"/>
    </row>
    <row r="198">
      <c r="D198" s="19"/>
      <c r="E198" s="19"/>
      <c r="F198" s="19"/>
    </row>
    <row r="199">
      <c r="D199" s="19"/>
      <c r="E199" s="19"/>
      <c r="F199" s="19"/>
    </row>
    <row r="200">
      <c r="D200" s="19"/>
      <c r="E200" s="19"/>
      <c r="F200" s="19"/>
    </row>
    <row r="201">
      <c r="D201" s="19"/>
      <c r="E201" s="19"/>
      <c r="F201" s="19"/>
    </row>
    <row r="202">
      <c r="D202" s="19"/>
      <c r="E202" s="19"/>
      <c r="F202" s="19"/>
    </row>
    <row r="203">
      <c r="D203" s="19"/>
      <c r="E203" s="19"/>
      <c r="F203" s="19"/>
    </row>
    <row r="204">
      <c r="D204" s="19"/>
      <c r="E204" s="19"/>
      <c r="F204" s="19"/>
    </row>
    <row r="205">
      <c r="D205" s="19"/>
      <c r="E205" s="19"/>
      <c r="F205" s="19"/>
    </row>
    <row r="206">
      <c r="D206" s="19"/>
      <c r="E206" s="19"/>
      <c r="F206" s="19"/>
    </row>
    <row r="207">
      <c r="D207" s="19"/>
      <c r="E207" s="19"/>
      <c r="F207" s="19"/>
    </row>
    <row r="208">
      <c r="D208" s="19"/>
      <c r="E208" s="19"/>
      <c r="F208" s="19"/>
    </row>
    <row r="209">
      <c r="D209" s="19"/>
      <c r="E209" s="19"/>
      <c r="F209" s="19"/>
    </row>
    <row r="210">
      <c r="D210" s="19"/>
      <c r="E210" s="19"/>
      <c r="F210" s="19"/>
    </row>
    <row r="211">
      <c r="D211" s="19"/>
      <c r="E211" s="19"/>
      <c r="F211" s="19"/>
    </row>
    <row r="212">
      <c r="D212" s="19"/>
      <c r="E212" s="19"/>
      <c r="F212" s="19"/>
    </row>
    <row r="213">
      <c r="D213" s="19"/>
      <c r="E213" s="19"/>
      <c r="F213" s="19"/>
    </row>
    <row r="214">
      <c r="D214" s="19"/>
      <c r="E214" s="19"/>
      <c r="F214" s="19"/>
    </row>
    <row r="215">
      <c r="D215" s="19"/>
      <c r="E215" s="19"/>
      <c r="F215" s="19"/>
    </row>
    <row r="216">
      <c r="D216" s="19"/>
      <c r="E216" s="19"/>
      <c r="F216" s="19"/>
    </row>
    <row r="217">
      <c r="D217" s="19"/>
      <c r="E217" s="19"/>
      <c r="F217" s="19"/>
    </row>
    <row r="218">
      <c r="D218" s="19"/>
      <c r="E218" s="19"/>
      <c r="F218" s="19"/>
    </row>
    <row r="219">
      <c r="D219" s="19"/>
      <c r="E219" s="19"/>
      <c r="F219" s="19"/>
    </row>
    <row r="220">
      <c r="D220" s="19"/>
      <c r="E220" s="19"/>
      <c r="F220" s="19"/>
    </row>
    <row r="221">
      <c r="D221" s="19"/>
      <c r="E221" s="19"/>
      <c r="F221" s="19"/>
    </row>
    <row r="222">
      <c r="D222" s="19"/>
      <c r="E222" s="19"/>
      <c r="F222" s="19"/>
    </row>
    <row r="223">
      <c r="D223" s="19"/>
      <c r="E223" s="19"/>
      <c r="F223" s="19"/>
    </row>
    <row r="224">
      <c r="D224" s="19"/>
      <c r="E224" s="19"/>
      <c r="F224" s="19"/>
    </row>
    <row r="225">
      <c r="D225" s="19"/>
      <c r="E225" s="19"/>
      <c r="F225" s="19"/>
    </row>
    <row r="226">
      <c r="D226" s="19"/>
      <c r="E226" s="19"/>
      <c r="F226" s="19"/>
    </row>
    <row r="227">
      <c r="D227" s="19"/>
      <c r="E227" s="19"/>
      <c r="F227" s="19"/>
    </row>
    <row r="228">
      <c r="D228" s="19"/>
      <c r="E228" s="19"/>
      <c r="F228" s="19"/>
    </row>
    <row r="229">
      <c r="D229" s="19"/>
      <c r="E229" s="19"/>
      <c r="F229" s="19"/>
    </row>
    <row r="230">
      <c r="D230" s="19"/>
      <c r="E230" s="19"/>
      <c r="F230" s="19"/>
    </row>
    <row r="231">
      <c r="D231" s="19"/>
      <c r="E231" s="19"/>
      <c r="F231" s="19"/>
    </row>
    <row r="232">
      <c r="D232" s="19"/>
      <c r="E232" s="19"/>
      <c r="F232" s="19"/>
    </row>
    <row r="233">
      <c r="D233" s="19"/>
      <c r="E233" s="19"/>
      <c r="F233" s="19"/>
    </row>
    <row r="234">
      <c r="D234" s="19"/>
      <c r="E234" s="19"/>
      <c r="F234" s="19"/>
    </row>
    <row r="235">
      <c r="D235" s="19"/>
      <c r="E235" s="19"/>
      <c r="F235" s="19"/>
    </row>
    <row r="236">
      <c r="D236" s="19"/>
      <c r="E236" s="19"/>
      <c r="F236" s="19"/>
    </row>
    <row r="237">
      <c r="D237" s="19"/>
      <c r="E237" s="19"/>
      <c r="F237" s="19"/>
    </row>
    <row r="238">
      <c r="D238" s="19"/>
      <c r="E238" s="19"/>
      <c r="F238" s="19"/>
    </row>
    <row r="239">
      <c r="D239" s="19"/>
      <c r="E239" s="19"/>
      <c r="F239" s="19"/>
    </row>
    <row r="240">
      <c r="D240" s="19"/>
      <c r="E240" s="19"/>
      <c r="F240" s="19"/>
    </row>
    <row r="241">
      <c r="D241" s="19"/>
      <c r="E241" s="19"/>
      <c r="F241" s="19"/>
    </row>
    <row r="242">
      <c r="D242" s="19"/>
      <c r="E242" s="19"/>
      <c r="F242" s="19"/>
    </row>
    <row r="243">
      <c r="D243" s="19"/>
      <c r="E243" s="19"/>
      <c r="F243" s="19"/>
    </row>
    <row r="244">
      <c r="D244" s="19"/>
      <c r="E244" s="19"/>
      <c r="F244" s="19"/>
    </row>
    <row r="245">
      <c r="D245" s="19"/>
      <c r="E245" s="19"/>
      <c r="F245" s="19"/>
    </row>
    <row r="246">
      <c r="D246" s="19"/>
      <c r="E246" s="19"/>
      <c r="F246" s="19"/>
    </row>
    <row r="247">
      <c r="D247" s="19"/>
      <c r="E247" s="19"/>
      <c r="F247" s="19"/>
    </row>
    <row r="248">
      <c r="D248" s="19"/>
      <c r="E248" s="19"/>
      <c r="F248" s="19"/>
    </row>
    <row r="249">
      <c r="D249" s="19"/>
      <c r="E249" s="19"/>
      <c r="F249" s="19"/>
    </row>
    <row r="250">
      <c r="D250" s="19"/>
      <c r="E250" s="19"/>
      <c r="F250" s="19"/>
    </row>
    <row r="251">
      <c r="D251" s="19"/>
      <c r="E251" s="19"/>
      <c r="F251" s="19"/>
    </row>
    <row r="252">
      <c r="D252" s="19"/>
      <c r="E252" s="19"/>
      <c r="F252" s="19"/>
    </row>
    <row r="253">
      <c r="D253" s="19"/>
      <c r="E253" s="19"/>
      <c r="F253" s="19"/>
    </row>
    <row r="254">
      <c r="D254" s="19"/>
      <c r="E254" s="19"/>
      <c r="F254" s="19"/>
    </row>
    <row r="255">
      <c r="D255" s="19"/>
      <c r="E255" s="19"/>
      <c r="F255" s="19"/>
    </row>
    <row r="256">
      <c r="D256" s="19"/>
      <c r="E256" s="19"/>
      <c r="F256" s="19"/>
    </row>
    <row r="257">
      <c r="D257" s="19"/>
      <c r="E257" s="19"/>
      <c r="F257" s="19"/>
    </row>
    <row r="258">
      <c r="D258" s="19"/>
      <c r="E258" s="19"/>
      <c r="F258" s="19"/>
    </row>
    <row r="259">
      <c r="D259" s="19"/>
      <c r="E259" s="19"/>
      <c r="F259" s="19"/>
    </row>
    <row r="260">
      <c r="D260" s="19"/>
      <c r="E260" s="19"/>
      <c r="F260" s="19"/>
    </row>
    <row r="261">
      <c r="D261" s="19"/>
      <c r="E261" s="19"/>
      <c r="F261" s="19"/>
    </row>
    <row r="262">
      <c r="D262" s="19"/>
      <c r="E262" s="19"/>
      <c r="F262" s="19"/>
    </row>
    <row r="263">
      <c r="D263" s="19"/>
      <c r="E263" s="19"/>
      <c r="F263" s="19"/>
    </row>
    <row r="264">
      <c r="D264" s="19"/>
      <c r="E264" s="19"/>
      <c r="F264" s="19"/>
    </row>
    <row r="265">
      <c r="D265" s="19"/>
      <c r="E265" s="19"/>
      <c r="F265" s="19"/>
    </row>
    <row r="266">
      <c r="D266" s="19"/>
      <c r="E266" s="19"/>
      <c r="F266" s="19"/>
    </row>
    <row r="267">
      <c r="D267" s="19"/>
      <c r="E267" s="19"/>
      <c r="F267" s="19"/>
    </row>
    <row r="268">
      <c r="D268" s="19"/>
      <c r="E268" s="19"/>
      <c r="F268" s="19"/>
    </row>
    <row r="269">
      <c r="D269" s="19"/>
      <c r="E269" s="19"/>
      <c r="F269" s="19"/>
    </row>
    <row r="270">
      <c r="D270" s="19"/>
      <c r="E270" s="19"/>
      <c r="F270" s="19"/>
    </row>
    <row r="271">
      <c r="D271" s="19"/>
      <c r="E271" s="19"/>
      <c r="F271" s="19"/>
    </row>
    <row r="272">
      <c r="D272" s="19"/>
      <c r="E272" s="19"/>
      <c r="F272" s="19"/>
    </row>
    <row r="273">
      <c r="D273" s="19"/>
      <c r="E273" s="19"/>
      <c r="F273" s="19"/>
    </row>
    <row r="274">
      <c r="D274" s="19"/>
      <c r="E274" s="19"/>
      <c r="F274" s="19"/>
    </row>
    <row r="275">
      <c r="D275" s="19"/>
      <c r="E275" s="19"/>
      <c r="F275" s="19"/>
    </row>
    <row r="276">
      <c r="D276" s="19"/>
      <c r="E276" s="19"/>
      <c r="F276" s="19"/>
    </row>
    <row r="277">
      <c r="D277" s="19"/>
      <c r="E277" s="19"/>
      <c r="F277" s="19"/>
    </row>
    <row r="278">
      <c r="D278" s="19"/>
      <c r="E278" s="19"/>
      <c r="F278" s="19"/>
    </row>
    <row r="279">
      <c r="D279" s="19"/>
      <c r="E279" s="19"/>
      <c r="F279" s="19"/>
    </row>
    <row r="280">
      <c r="D280" s="19"/>
      <c r="E280" s="19"/>
      <c r="F280" s="19"/>
    </row>
    <row r="281">
      <c r="D281" s="19"/>
      <c r="E281" s="19"/>
      <c r="F281" s="19"/>
    </row>
    <row r="282">
      <c r="D282" s="19"/>
      <c r="E282" s="19"/>
      <c r="F282" s="19"/>
    </row>
    <row r="283">
      <c r="D283" s="19"/>
      <c r="E283" s="19"/>
      <c r="F283" s="19"/>
    </row>
    <row r="284">
      <c r="D284" s="19"/>
      <c r="E284" s="19"/>
      <c r="F284" s="19"/>
    </row>
    <row r="285">
      <c r="D285" s="19"/>
      <c r="E285" s="19"/>
      <c r="F285" s="19"/>
    </row>
    <row r="286">
      <c r="D286" s="19"/>
      <c r="E286" s="19"/>
      <c r="F286" s="19"/>
    </row>
    <row r="287">
      <c r="D287" s="19"/>
      <c r="E287" s="19"/>
      <c r="F287" s="19"/>
    </row>
    <row r="288">
      <c r="D288" s="19"/>
      <c r="E288" s="19"/>
      <c r="F288" s="19"/>
    </row>
    <row r="289">
      <c r="D289" s="19"/>
      <c r="E289" s="19"/>
      <c r="F289" s="19"/>
    </row>
    <row r="290">
      <c r="D290" s="19"/>
      <c r="E290" s="19"/>
      <c r="F290" s="19"/>
    </row>
    <row r="291">
      <c r="D291" s="19"/>
      <c r="E291" s="19"/>
      <c r="F291" s="19"/>
    </row>
    <row r="292">
      <c r="D292" s="19"/>
      <c r="E292" s="19"/>
      <c r="F292" s="19"/>
    </row>
    <row r="293">
      <c r="D293" s="19"/>
      <c r="E293" s="19"/>
      <c r="F293" s="19"/>
    </row>
    <row r="294">
      <c r="D294" s="19"/>
      <c r="E294" s="19"/>
      <c r="F294" s="19"/>
    </row>
    <row r="295">
      <c r="D295" s="19"/>
      <c r="E295" s="19"/>
      <c r="F295" s="19"/>
    </row>
    <row r="296">
      <c r="D296" s="19"/>
      <c r="E296" s="19"/>
      <c r="F296" s="19"/>
    </row>
    <row r="297">
      <c r="D297" s="19"/>
      <c r="E297" s="19"/>
      <c r="F297" s="19"/>
    </row>
    <row r="298">
      <c r="D298" s="19"/>
      <c r="E298" s="19"/>
      <c r="F298" s="19"/>
    </row>
    <row r="299">
      <c r="D299" s="19"/>
      <c r="E299" s="19"/>
      <c r="F299" s="19"/>
    </row>
    <row r="300">
      <c r="D300" s="19"/>
      <c r="E300" s="19"/>
      <c r="F300" s="19"/>
    </row>
    <row r="301">
      <c r="D301" s="19"/>
      <c r="E301" s="19"/>
      <c r="F301" s="19"/>
    </row>
    <row r="302">
      <c r="D302" s="19"/>
      <c r="E302" s="19"/>
      <c r="F302" s="19"/>
    </row>
    <row r="303">
      <c r="D303" s="19"/>
      <c r="E303" s="19"/>
      <c r="F303" s="19"/>
    </row>
    <row r="304">
      <c r="D304" s="19"/>
      <c r="E304" s="19"/>
      <c r="F304" s="19"/>
    </row>
    <row r="305">
      <c r="D305" s="19"/>
      <c r="E305" s="19"/>
      <c r="F305" s="19"/>
    </row>
    <row r="306">
      <c r="D306" s="19"/>
      <c r="E306" s="19"/>
      <c r="F306" s="19"/>
    </row>
    <row r="307">
      <c r="D307" s="19"/>
      <c r="E307" s="19"/>
      <c r="F307" s="19"/>
    </row>
    <row r="308">
      <c r="D308" s="19"/>
      <c r="E308" s="19"/>
      <c r="F308" s="19"/>
    </row>
    <row r="309">
      <c r="D309" s="19"/>
      <c r="E309" s="19"/>
      <c r="F309" s="19"/>
    </row>
    <row r="310">
      <c r="D310" s="19"/>
      <c r="E310" s="19"/>
      <c r="F310" s="19"/>
    </row>
    <row r="311">
      <c r="D311" s="19"/>
      <c r="E311" s="19"/>
      <c r="F311" s="19"/>
    </row>
    <row r="312">
      <c r="D312" s="19"/>
      <c r="E312" s="19"/>
      <c r="F312" s="19"/>
    </row>
    <row r="313">
      <c r="D313" s="19"/>
      <c r="E313" s="19"/>
      <c r="F313" s="19"/>
    </row>
    <row r="314">
      <c r="D314" s="19"/>
      <c r="E314" s="19"/>
      <c r="F314" s="19"/>
    </row>
    <row r="315">
      <c r="D315" s="19"/>
      <c r="E315" s="19"/>
      <c r="F315" s="19"/>
    </row>
    <row r="316">
      <c r="D316" s="19"/>
      <c r="E316" s="19"/>
      <c r="F316" s="19"/>
    </row>
    <row r="317">
      <c r="D317" s="19"/>
      <c r="E317" s="19"/>
      <c r="F317" s="19"/>
    </row>
    <row r="318">
      <c r="D318" s="19"/>
      <c r="E318" s="19"/>
      <c r="F318" s="19"/>
    </row>
    <row r="319">
      <c r="D319" s="19"/>
      <c r="E319" s="19"/>
      <c r="F319" s="19"/>
    </row>
    <row r="320">
      <c r="D320" s="19"/>
      <c r="E320" s="19"/>
      <c r="F320" s="19"/>
    </row>
    <row r="321">
      <c r="D321" s="19"/>
      <c r="E321" s="19"/>
      <c r="F321" s="19"/>
    </row>
    <row r="322">
      <c r="D322" s="19"/>
      <c r="E322" s="19"/>
      <c r="F322" s="19"/>
    </row>
    <row r="323">
      <c r="D323" s="19"/>
      <c r="E323" s="19"/>
      <c r="F323" s="19"/>
    </row>
    <row r="324">
      <c r="D324" s="19"/>
      <c r="E324" s="19"/>
      <c r="F324" s="19"/>
    </row>
    <row r="325">
      <c r="D325" s="19"/>
      <c r="E325" s="19"/>
      <c r="F325" s="19"/>
    </row>
    <row r="326">
      <c r="D326" s="19"/>
      <c r="E326" s="19"/>
      <c r="F326" s="19"/>
    </row>
    <row r="327">
      <c r="D327" s="19"/>
      <c r="E327" s="19"/>
      <c r="F327" s="19"/>
    </row>
    <row r="328">
      <c r="D328" s="19"/>
      <c r="E328" s="19"/>
      <c r="F328" s="19"/>
    </row>
    <row r="329">
      <c r="D329" s="19"/>
      <c r="E329" s="19"/>
      <c r="F329" s="19"/>
    </row>
    <row r="330">
      <c r="D330" s="19"/>
      <c r="E330" s="19"/>
      <c r="F330" s="19"/>
    </row>
    <row r="331">
      <c r="D331" s="19"/>
      <c r="E331" s="19"/>
      <c r="F331" s="19"/>
    </row>
    <row r="332">
      <c r="D332" s="19"/>
      <c r="E332" s="19"/>
      <c r="F332" s="19"/>
    </row>
    <row r="333">
      <c r="D333" s="19"/>
      <c r="E333" s="19"/>
      <c r="F333" s="19"/>
    </row>
    <row r="334">
      <c r="D334" s="19"/>
      <c r="E334" s="19"/>
      <c r="F334" s="19"/>
    </row>
    <row r="335">
      <c r="D335" s="19"/>
      <c r="E335" s="19"/>
      <c r="F335" s="19"/>
    </row>
    <row r="336">
      <c r="D336" s="19"/>
      <c r="E336" s="19"/>
      <c r="F336" s="19"/>
    </row>
    <row r="337">
      <c r="D337" s="19"/>
      <c r="E337" s="19"/>
      <c r="F337" s="19"/>
    </row>
    <row r="338">
      <c r="D338" s="19"/>
      <c r="E338" s="19"/>
      <c r="F338" s="19"/>
    </row>
    <row r="339">
      <c r="D339" s="19"/>
      <c r="E339" s="19"/>
      <c r="F339" s="19"/>
    </row>
    <row r="340">
      <c r="D340" s="19"/>
      <c r="E340" s="19"/>
      <c r="F340" s="19"/>
    </row>
    <row r="341">
      <c r="D341" s="19"/>
      <c r="E341" s="19"/>
      <c r="F341" s="19"/>
    </row>
    <row r="342">
      <c r="D342" s="19"/>
      <c r="E342" s="19"/>
      <c r="F342" s="19"/>
    </row>
    <row r="343">
      <c r="D343" s="19"/>
      <c r="E343" s="19"/>
      <c r="F343" s="19"/>
    </row>
    <row r="344">
      <c r="D344" s="19"/>
      <c r="E344" s="19"/>
      <c r="F344" s="19"/>
    </row>
    <row r="345">
      <c r="D345" s="19"/>
      <c r="E345" s="19"/>
      <c r="F345" s="19"/>
    </row>
    <row r="346">
      <c r="D346" s="19"/>
      <c r="E346" s="19"/>
      <c r="F346" s="19"/>
    </row>
    <row r="347">
      <c r="D347" s="19"/>
      <c r="E347" s="19"/>
      <c r="F347" s="19"/>
    </row>
    <row r="348">
      <c r="D348" s="19"/>
      <c r="E348" s="19"/>
      <c r="F348" s="19"/>
    </row>
    <row r="349">
      <c r="D349" s="19"/>
      <c r="E349" s="19"/>
      <c r="F349" s="19"/>
    </row>
    <row r="350">
      <c r="D350" s="19"/>
      <c r="E350" s="19"/>
      <c r="F350" s="19"/>
    </row>
    <row r="351">
      <c r="D351" s="19"/>
      <c r="E351" s="19"/>
      <c r="F351" s="19"/>
    </row>
    <row r="352">
      <c r="D352" s="19"/>
      <c r="E352" s="19"/>
      <c r="F352" s="19"/>
    </row>
    <row r="353">
      <c r="D353" s="19"/>
      <c r="E353" s="19"/>
      <c r="F353" s="19"/>
    </row>
    <row r="354">
      <c r="D354" s="19"/>
      <c r="E354" s="19"/>
      <c r="F354" s="19"/>
    </row>
    <row r="355">
      <c r="D355" s="19"/>
      <c r="E355" s="19"/>
      <c r="F355" s="19"/>
    </row>
    <row r="356">
      <c r="D356" s="19"/>
      <c r="E356" s="19"/>
      <c r="F356" s="19"/>
    </row>
    <row r="357">
      <c r="D357" s="19"/>
      <c r="E357" s="19"/>
      <c r="F357" s="19"/>
    </row>
    <row r="358">
      <c r="D358" s="19"/>
      <c r="E358" s="19"/>
      <c r="F358" s="19"/>
    </row>
    <row r="359">
      <c r="D359" s="19"/>
      <c r="E359" s="19"/>
      <c r="F359" s="19"/>
    </row>
    <row r="360">
      <c r="D360" s="19"/>
      <c r="E360" s="19"/>
      <c r="F360" s="19"/>
    </row>
    <row r="361">
      <c r="D361" s="19"/>
      <c r="E361" s="19"/>
      <c r="F361" s="19"/>
    </row>
    <row r="362">
      <c r="D362" s="19"/>
      <c r="E362" s="19"/>
      <c r="F362" s="19"/>
    </row>
    <row r="363">
      <c r="D363" s="19"/>
      <c r="E363" s="19"/>
      <c r="F363" s="19"/>
    </row>
    <row r="364">
      <c r="D364" s="19"/>
      <c r="E364" s="19"/>
      <c r="F364" s="19"/>
    </row>
    <row r="365">
      <c r="D365" s="19"/>
      <c r="E365" s="19"/>
      <c r="F365" s="19"/>
    </row>
    <row r="366">
      <c r="D366" s="19"/>
      <c r="E366" s="19"/>
      <c r="F366" s="19"/>
    </row>
    <row r="367">
      <c r="D367" s="19"/>
      <c r="E367" s="19"/>
      <c r="F367" s="19"/>
    </row>
    <row r="368">
      <c r="D368" s="19"/>
      <c r="E368" s="19"/>
      <c r="F368" s="19"/>
    </row>
    <row r="369">
      <c r="D369" s="19"/>
      <c r="E369" s="19"/>
      <c r="F369" s="19"/>
    </row>
    <row r="370">
      <c r="D370" s="19"/>
      <c r="E370" s="19"/>
      <c r="F370" s="19"/>
    </row>
    <row r="371">
      <c r="D371" s="19"/>
      <c r="E371" s="19"/>
      <c r="F371" s="19"/>
    </row>
    <row r="372">
      <c r="D372" s="19"/>
      <c r="E372" s="19"/>
      <c r="F372" s="19"/>
    </row>
    <row r="373">
      <c r="D373" s="19"/>
      <c r="E373" s="19"/>
      <c r="F373" s="19"/>
    </row>
    <row r="374">
      <c r="D374" s="19"/>
      <c r="E374" s="19"/>
      <c r="F374" s="19"/>
    </row>
    <row r="375">
      <c r="D375" s="19"/>
      <c r="E375" s="19"/>
      <c r="F375" s="19"/>
    </row>
    <row r="376">
      <c r="D376" s="19"/>
      <c r="E376" s="19"/>
      <c r="F376" s="19"/>
    </row>
    <row r="377">
      <c r="D377" s="19"/>
      <c r="E377" s="19"/>
      <c r="F377" s="19"/>
    </row>
    <row r="378">
      <c r="D378" s="19"/>
      <c r="E378" s="19"/>
      <c r="F378" s="19"/>
    </row>
    <row r="379">
      <c r="D379" s="19"/>
      <c r="E379" s="19"/>
      <c r="F379" s="19"/>
    </row>
    <row r="380">
      <c r="D380" s="19"/>
      <c r="E380" s="19"/>
      <c r="F380" s="19"/>
    </row>
    <row r="381">
      <c r="D381" s="19"/>
      <c r="E381" s="19"/>
      <c r="F381" s="19"/>
    </row>
    <row r="382">
      <c r="D382" s="19"/>
      <c r="E382" s="19"/>
      <c r="F382" s="19"/>
    </row>
    <row r="383">
      <c r="D383" s="19"/>
      <c r="E383" s="19"/>
      <c r="F383" s="19"/>
    </row>
    <row r="384">
      <c r="D384" s="19"/>
      <c r="E384" s="19"/>
      <c r="F384" s="19"/>
    </row>
    <row r="385">
      <c r="D385" s="19"/>
      <c r="E385" s="19"/>
      <c r="F385" s="19"/>
    </row>
    <row r="386">
      <c r="D386" s="19"/>
      <c r="E386" s="19"/>
      <c r="F386" s="19"/>
    </row>
    <row r="387">
      <c r="D387" s="19"/>
      <c r="E387" s="19"/>
      <c r="F387" s="19"/>
    </row>
    <row r="388">
      <c r="D388" s="19"/>
      <c r="E388" s="19"/>
      <c r="F388" s="19"/>
    </row>
    <row r="389">
      <c r="D389" s="19"/>
      <c r="E389" s="19"/>
      <c r="F389" s="19"/>
    </row>
    <row r="390">
      <c r="D390" s="19"/>
      <c r="E390" s="19"/>
      <c r="F390" s="19"/>
    </row>
    <row r="391">
      <c r="D391" s="19"/>
      <c r="E391" s="19"/>
      <c r="F391" s="19"/>
    </row>
    <row r="392">
      <c r="D392" s="19"/>
      <c r="E392" s="19"/>
      <c r="F392" s="19"/>
    </row>
    <row r="393">
      <c r="D393" s="19"/>
      <c r="E393" s="19"/>
      <c r="F393" s="19"/>
    </row>
    <row r="394">
      <c r="D394" s="19"/>
      <c r="E394" s="19"/>
      <c r="F394" s="19"/>
    </row>
    <row r="395">
      <c r="D395" s="19"/>
      <c r="E395" s="19"/>
      <c r="F395" s="19"/>
    </row>
    <row r="396">
      <c r="D396" s="19"/>
      <c r="E396" s="19"/>
      <c r="F396" s="19"/>
    </row>
    <row r="397">
      <c r="D397" s="19"/>
      <c r="E397" s="19"/>
      <c r="F397" s="19"/>
    </row>
    <row r="398">
      <c r="D398" s="19"/>
      <c r="E398" s="19"/>
      <c r="F398" s="19"/>
    </row>
    <row r="399">
      <c r="D399" s="19"/>
      <c r="E399" s="19"/>
      <c r="F399" s="19"/>
    </row>
    <row r="400">
      <c r="D400" s="19"/>
      <c r="E400" s="19"/>
      <c r="F400" s="19"/>
    </row>
    <row r="401">
      <c r="D401" s="19"/>
      <c r="E401" s="19"/>
      <c r="F401" s="19"/>
    </row>
    <row r="402">
      <c r="D402" s="19"/>
      <c r="E402" s="19"/>
      <c r="F402" s="19"/>
    </row>
    <row r="403">
      <c r="D403" s="19"/>
      <c r="E403" s="19"/>
      <c r="F403" s="19"/>
    </row>
    <row r="404">
      <c r="D404" s="19"/>
      <c r="E404" s="19"/>
      <c r="F404" s="19"/>
    </row>
    <row r="405">
      <c r="D405" s="19"/>
      <c r="E405" s="19"/>
      <c r="F405" s="19"/>
    </row>
    <row r="406">
      <c r="D406" s="19"/>
      <c r="E406" s="19"/>
      <c r="F406" s="19"/>
    </row>
    <row r="407">
      <c r="D407" s="19"/>
      <c r="E407" s="19"/>
      <c r="F407" s="19"/>
    </row>
    <row r="408">
      <c r="D408" s="19"/>
      <c r="E408" s="19"/>
      <c r="F408" s="19"/>
    </row>
    <row r="409">
      <c r="D409" s="19"/>
      <c r="E409" s="19"/>
      <c r="F409" s="19"/>
    </row>
    <row r="410">
      <c r="D410" s="19"/>
      <c r="E410" s="19"/>
      <c r="F410" s="19"/>
    </row>
    <row r="411">
      <c r="D411" s="19"/>
      <c r="E411" s="19"/>
      <c r="F411" s="19"/>
    </row>
    <row r="412">
      <c r="D412" s="19"/>
      <c r="E412" s="19"/>
      <c r="F412" s="19"/>
    </row>
    <row r="413">
      <c r="D413" s="19"/>
      <c r="E413" s="19"/>
      <c r="F413" s="19"/>
    </row>
    <row r="414">
      <c r="D414" s="19"/>
      <c r="E414" s="19"/>
      <c r="F414" s="19"/>
    </row>
    <row r="415">
      <c r="D415" s="19"/>
      <c r="E415" s="19"/>
      <c r="F415" s="19"/>
    </row>
    <row r="416">
      <c r="D416" s="19"/>
      <c r="E416" s="19"/>
      <c r="F416" s="19"/>
    </row>
    <row r="417">
      <c r="D417" s="19"/>
      <c r="E417" s="19"/>
      <c r="F417" s="19"/>
    </row>
    <row r="418">
      <c r="D418" s="19"/>
      <c r="E418" s="19"/>
      <c r="F418" s="19"/>
    </row>
    <row r="419">
      <c r="D419" s="19"/>
      <c r="E419" s="19"/>
      <c r="F419" s="19"/>
    </row>
    <row r="420">
      <c r="D420" s="19"/>
      <c r="E420" s="19"/>
      <c r="F420" s="19"/>
    </row>
    <row r="421">
      <c r="D421" s="19"/>
      <c r="E421" s="19"/>
      <c r="F421" s="19"/>
    </row>
    <row r="422">
      <c r="D422" s="19"/>
      <c r="E422" s="19"/>
      <c r="F422" s="19"/>
    </row>
    <row r="423">
      <c r="D423" s="19"/>
      <c r="E423" s="19"/>
      <c r="F423" s="19"/>
    </row>
    <row r="424">
      <c r="D424" s="19"/>
      <c r="E424" s="19"/>
      <c r="F424" s="19"/>
    </row>
    <row r="425">
      <c r="D425" s="19"/>
      <c r="E425" s="19"/>
      <c r="F425" s="19"/>
    </row>
    <row r="426">
      <c r="D426" s="19"/>
      <c r="E426" s="19"/>
      <c r="F426" s="19"/>
    </row>
    <row r="427">
      <c r="D427" s="19"/>
      <c r="E427" s="19"/>
      <c r="F427" s="19"/>
    </row>
    <row r="428">
      <c r="D428" s="19"/>
      <c r="E428" s="19"/>
      <c r="F428" s="19"/>
    </row>
    <row r="429">
      <c r="D429" s="19"/>
      <c r="E429" s="19"/>
      <c r="F429" s="19"/>
    </row>
    <row r="430">
      <c r="D430" s="19"/>
      <c r="E430" s="19"/>
      <c r="F430" s="19"/>
    </row>
    <row r="431">
      <c r="D431" s="19"/>
      <c r="E431" s="19"/>
      <c r="F431" s="19"/>
    </row>
    <row r="432">
      <c r="D432" s="19"/>
      <c r="E432" s="19"/>
      <c r="F432" s="19"/>
    </row>
    <row r="433">
      <c r="D433" s="19"/>
      <c r="E433" s="19"/>
      <c r="F433" s="19"/>
    </row>
    <row r="434">
      <c r="D434" s="19"/>
      <c r="E434" s="19"/>
      <c r="F434" s="19"/>
    </row>
    <row r="435">
      <c r="D435" s="19"/>
      <c r="E435" s="19"/>
      <c r="F435" s="19"/>
    </row>
    <row r="436">
      <c r="D436" s="19"/>
      <c r="E436" s="19"/>
      <c r="F436" s="19"/>
    </row>
    <row r="437">
      <c r="D437" s="19"/>
      <c r="E437" s="19"/>
      <c r="F437" s="19"/>
    </row>
    <row r="438">
      <c r="D438" s="19"/>
      <c r="E438" s="19"/>
      <c r="F438" s="19"/>
    </row>
    <row r="439">
      <c r="D439" s="19"/>
      <c r="E439" s="19"/>
      <c r="F439" s="19"/>
    </row>
    <row r="440">
      <c r="D440" s="19"/>
      <c r="E440" s="19"/>
      <c r="F440" s="19"/>
    </row>
    <row r="441">
      <c r="D441" s="19"/>
      <c r="E441" s="19"/>
      <c r="F441" s="19"/>
    </row>
    <row r="442">
      <c r="D442" s="19"/>
      <c r="E442" s="19"/>
      <c r="F442" s="19"/>
    </row>
    <row r="443">
      <c r="D443" s="19"/>
      <c r="E443" s="19"/>
      <c r="F443" s="19"/>
    </row>
    <row r="444">
      <c r="D444" s="19"/>
      <c r="E444" s="19"/>
      <c r="F444" s="19"/>
    </row>
    <row r="445">
      <c r="D445" s="19"/>
      <c r="E445" s="19"/>
      <c r="F445" s="19"/>
    </row>
    <row r="446">
      <c r="D446" s="19"/>
      <c r="E446" s="19"/>
      <c r="F446" s="19"/>
    </row>
    <row r="447">
      <c r="D447" s="19"/>
      <c r="E447" s="19"/>
      <c r="F447" s="19"/>
    </row>
    <row r="448">
      <c r="D448" s="19"/>
      <c r="E448" s="19"/>
      <c r="F448" s="19"/>
    </row>
    <row r="449">
      <c r="D449" s="19"/>
      <c r="E449" s="19"/>
      <c r="F449" s="19"/>
    </row>
    <row r="450">
      <c r="D450" s="19"/>
      <c r="E450" s="19"/>
      <c r="F450" s="19"/>
    </row>
    <row r="451">
      <c r="D451" s="19"/>
      <c r="E451" s="19"/>
      <c r="F451" s="19"/>
    </row>
    <row r="452">
      <c r="D452" s="19"/>
      <c r="E452" s="19"/>
      <c r="F452" s="19"/>
    </row>
    <row r="453">
      <c r="D453" s="19"/>
      <c r="E453" s="19"/>
      <c r="F453" s="19"/>
    </row>
    <row r="454">
      <c r="D454" s="19"/>
      <c r="E454" s="19"/>
      <c r="F454" s="19"/>
    </row>
    <row r="455">
      <c r="D455" s="19"/>
      <c r="E455" s="19"/>
      <c r="F455" s="19"/>
    </row>
    <row r="456">
      <c r="D456" s="19"/>
      <c r="E456" s="19"/>
      <c r="F456" s="19"/>
    </row>
    <row r="457">
      <c r="D457" s="19"/>
      <c r="E457" s="19"/>
      <c r="F457" s="19"/>
    </row>
    <row r="458">
      <c r="D458" s="19"/>
      <c r="E458" s="19"/>
      <c r="F458" s="19"/>
    </row>
    <row r="459">
      <c r="D459" s="19"/>
      <c r="E459" s="19"/>
      <c r="F459" s="19"/>
    </row>
    <row r="460">
      <c r="D460" s="19"/>
      <c r="E460" s="19"/>
      <c r="F460" s="19"/>
    </row>
    <row r="461">
      <c r="D461" s="19"/>
      <c r="E461" s="19"/>
      <c r="F461" s="19"/>
    </row>
    <row r="462">
      <c r="D462" s="19"/>
      <c r="E462" s="19"/>
      <c r="F462" s="19"/>
    </row>
    <row r="463">
      <c r="D463" s="19"/>
      <c r="E463" s="19"/>
      <c r="F463" s="19"/>
    </row>
    <row r="464">
      <c r="D464" s="19"/>
      <c r="E464" s="19"/>
      <c r="F464" s="19"/>
    </row>
    <row r="465">
      <c r="D465" s="19"/>
      <c r="E465" s="19"/>
      <c r="F465" s="19"/>
    </row>
    <row r="466">
      <c r="D466" s="19"/>
      <c r="E466" s="19"/>
      <c r="F466" s="19"/>
    </row>
    <row r="467">
      <c r="D467" s="19"/>
      <c r="E467" s="19"/>
      <c r="F467" s="19"/>
    </row>
    <row r="468">
      <c r="D468" s="19"/>
      <c r="E468" s="19"/>
      <c r="F468" s="19"/>
    </row>
    <row r="469">
      <c r="D469" s="19"/>
      <c r="E469" s="19"/>
      <c r="F469" s="19"/>
    </row>
    <row r="470">
      <c r="D470" s="19"/>
      <c r="E470" s="19"/>
      <c r="F470" s="19"/>
    </row>
    <row r="471">
      <c r="D471" s="19"/>
      <c r="E471" s="19"/>
      <c r="F471" s="19"/>
    </row>
    <row r="472">
      <c r="D472" s="19"/>
      <c r="E472" s="19"/>
      <c r="F472" s="19"/>
    </row>
    <row r="473">
      <c r="D473" s="19"/>
      <c r="E473" s="19"/>
      <c r="F473" s="19"/>
    </row>
    <row r="474">
      <c r="D474" s="19"/>
      <c r="E474" s="19"/>
      <c r="F474" s="19"/>
    </row>
    <row r="475">
      <c r="D475" s="19"/>
      <c r="E475" s="19"/>
      <c r="F475" s="19"/>
    </row>
    <row r="476">
      <c r="D476" s="19"/>
      <c r="E476" s="19"/>
      <c r="F476" s="19"/>
    </row>
    <row r="477">
      <c r="D477" s="19"/>
      <c r="E477" s="19"/>
      <c r="F477" s="19"/>
    </row>
    <row r="478">
      <c r="D478" s="19"/>
      <c r="E478" s="19"/>
      <c r="F478" s="19"/>
    </row>
    <row r="479">
      <c r="D479" s="19"/>
      <c r="E479" s="19"/>
      <c r="F479" s="19"/>
    </row>
    <row r="480">
      <c r="D480" s="19"/>
      <c r="E480" s="19"/>
      <c r="F480" s="19"/>
    </row>
    <row r="481">
      <c r="D481" s="19"/>
      <c r="E481" s="19"/>
      <c r="F481" s="19"/>
    </row>
    <row r="482">
      <c r="D482" s="19"/>
      <c r="E482" s="19"/>
      <c r="F482" s="19"/>
    </row>
    <row r="483">
      <c r="D483" s="19"/>
      <c r="E483" s="19"/>
      <c r="F483" s="19"/>
    </row>
    <row r="484">
      <c r="D484" s="19"/>
      <c r="E484" s="19"/>
      <c r="F484" s="19"/>
    </row>
    <row r="485">
      <c r="D485" s="19"/>
      <c r="E485" s="19"/>
      <c r="F485" s="19"/>
    </row>
    <row r="486">
      <c r="D486" s="19"/>
      <c r="E486" s="19"/>
      <c r="F486" s="19"/>
    </row>
    <row r="487">
      <c r="D487" s="19"/>
      <c r="E487" s="19"/>
      <c r="F487" s="19"/>
    </row>
    <row r="488">
      <c r="D488" s="19"/>
      <c r="E488" s="19"/>
      <c r="F488" s="19"/>
    </row>
    <row r="489">
      <c r="D489" s="19"/>
      <c r="E489" s="19"/>
      <c r="F489" s="19"/>
    </row>
    <row r="490">
      <c r="D490" s="19"/>
      <c r="E490" s="19"/>
      <c r="F490" s="19"/>
    </row>
    <row r="491">
      <c r="D491" s="19"/>
      <c r="E491" s="19"/>
      <c r="F491" s="19"/>
    </row>
    <row r="492">
      <c r="D492" s="19"/>
      <c r="E492" s="19"/>
      <c r="F492" s="19"/>
    </row>
    <row r="493">
      <c r="D493" s="19"/>
      <c r="E493" s="19"/>
      <c r="F493" s="19"/>
    </row>
    <row r="494">
      <c r="D494" s="19"/>
      <c r="E494" s="19"/>
      <c r="F494" s="19"/>
    </row>
    <row r="495">
      <c r="D495" s="19"/>
      <c r="E495" s="19"/>
      <c r="F495" s="19"/>
    </row>
    <row r="496">
      <c r="D496" s="19"/>
      <c r="E496" s="19"/>
      <c r="F496" s="19"/>
    </row>
    <row r="497">
      <c r="D497" s="19"/>
      <c r="E497" s="19"/>
      <c r="F497" s="19"/>
    </row>
    <row r="498">
      <c r="D498" s="19"/>
      <c r="E498" s="19"/>
      <c r="F498" s="19"/>
    </row>
    <row r="499">
      <c r="D499" s="19"/>
      <c r="E499" s="19"/>
      <c r="F499" s="19"/>
    </row>
    <row r="500">
      <c r="D500" s="19"/>
      <c r="E500" s="19"/>
      <c r="F500" s="19"/>
    </row>
    <row r="501">
      <c r="D501" s="19"/>
      <c r="E501" s="19"/>
      <c r="F501" s="19"/>
    </row>
    <row r="502">
      <c r="D502" s="19"/>
      <c r="E502" s="19"/>
      <c r="F502" s="19"/>
    </row>
    <row r="503">
      <c r="D503" s="19"/>
      <c r="E503" s="19"/>
      <c r="F503" s="19"/>
    </row>
    <row r="504">
      <c r="D504" s="19"/>
      <c r="E504" s="19"/>
      <c r="F504" s="19"/>
    </row>
    <row r="505">
      <c r="D505" s="19"/>
      <c r="E505" s="19"/>
      <c r="F505" s="19"/>
    </row>
    <row r="506">
      <c r="D506" s="19"/>
      <c r="E506" s="19"/>
      <c r="F506" s="19"/>
    </row>
    <row r="507">
      <c r="D507" s="19"/>
      <c r="E507" s="19"/>
      <c r="F507" s="19"/>
    </row>
    <row r="508">
      <c r="D508" s="19"/>
      <c r="E508" s="19"/>
      <c r="F508" s="19"/>
    </row>
    <row r="509">
      <c r="D509" s="19"/>
      <c r="E509" s="19"/>
      <c r="F509" s="19"/>
    </row>
    <row r="510">
      <c r="D510" s="19"/>
      <c r="E510" s="19"/>
      <c r="F510" s="19"/>
    </row>
    <row r="511">
      <c r="D511" s="19"/>
      <c r="E511" s="19"/>
      <c r="F511" s="19"/>
    </row>
    <row r="512">
      <c r="D512" s="19"/>
      <c r="E512" s="19"/>
      <c r="F512" s="19"/>
    </row>
    <row r="513">
      <c r="D513" s="19"/>
      <c r="E513" s="19"/>
      <c r="F513" s="19"/>
    </row>
    <row r="514">
      <c r="D514" s="19"/>
      <c r="E514" s="19"/>
      <c r="F514" s="19"/>
    </row>
    <row r="515">
      <c r="D515" s="19"/>
      <c r="E515" s="19"/>
      <c r="F515" s="19"/>
    </row>
    <row r="516">
      <c r="D516" s="19"/>
      <c r="E516" s="19"/>
      <c r="F516" s="19"/>
    </row>
    <row r="517">
      <c r="D517" s="19"/>
      <c r="E517" s="19"/>
      <c r="F517" s="19"/>
    </row>
    <row r="518">
      <c r="D518" s="19"/>
      <c r="E518" s="19"/>
      <c r="F518" s="19"/>
    </row>
    <row r="519">
      <c r="D519" s="19"/>
      <c r="E519" s="19"/>
      <c r="F519" s="19"/>
    </row>
    <row r="520">
      <c r="D520" s="19"/>
      <c r="E520" s="19"/>
      <c r="F520" s="19"/>
    </row>
    <row r="521">
      <c r="D521" s="19"/>
      <c r="E521" s="19"/>
      <c r="F521" s="19"/>
    </row>
    <row r="522">
      <c r="D522" s="19"/>
      <c r="E522" s="19"/>
      <c r="F522" s="19"/>
    </row>
    <row r="523">
      <c r="D523" s="19"/>
      <c r="E523" s="19"/>
      <c r="F523" s="19"/>
    </row>
    <row r="524">
      <c r="D524" s="19"/>
      <c r="E524" s="19"/>
      <c r="F524" s="19"/>
    </row>
    <row r="525">
      <c r="D525" s="19"/>
      <c r="E525" s="19"/>
      <c r="F525" s="19"/>
    </row>
    <row r="526">
      <c r="D526" s="19"/>
      <c r="E526" s="19"/>
      <c r="F526" s="19"/>
    </row>
    <row r="527">
      <c r="D527" s="19"/>
      <c r="E527" s="19"/>
      <c r="F527" s="19"/>
    </row>
    <row r="528">
      <c r="D528" s="19"/>
      <c r="E528" s="19"/>
      <c r="F528" s="19"/>
    </row>
    <row r="529">
      <c r="D529" s="19"/>
      <c r="E529" s="19"/>
      <c r="F529" s="19"/>
    </row>
    <row r="530">
      <c r="D530" s="19"/>
      <c r="E530" s="19"/>
      <c r="F530" s="19"/>
    </row>
    <row r="531">
      <c r="D531" s="19"/>
      <c r="E531" s="19"/>
      <c r="F531" s="19"/>
    </row>
    <row r="532">
      <c r="D532" s="19"/>
      <c r="E532" s="19"/>
      <c r="F532" s="19"/>
    </row>
    <row r="533">
      <c r="D533" s="19"/>
      <c r="E533" s="19"/>
      <c r="F533" s="19"/>
    </row>
    <row r="534">
      <c r="D534" s="19"/>
      <c r="E534" s="19"/>
      <c r="F534" s="19"/>
    </row>
    <row r="535">
      <c r="D535" s="19"/>
      <c r="E535" s="19"/>
      <c r="F535" s="19"/>
    </row>
    <row r="536">
      <c r="D536" s="19"/>
      <c r="E536" s="19"/>
      <c r="F536" s="19"/>
    </row>
    <row r="537">
      <c r="D537" s="19"/>
      <c r="E537" s="19"/>
      <c r="F537" s="19"/>
    </row>
    <row r="538">
      <c r="D538" s="19"/>
      <c r="E538" s="19"/>
      <c r="F538" s="19"/>
    </row>
    <row r="539">
      <c r="D539" s="19"/>
      <c r="E539" s="19"/>
      <c r="F539" s="19"/>
    </row>
    <row r="540">
      <c r="D540" s="19"/>
      <c r="E540" s="19"/>
      <c r="F540" s="19"/>
    </row>
    <row r="541">
      <c r="D541" s="19"/>
      <c r="E541" s="19"/>
      <c r="F541" s="19"/>
    </row>
    <row r="542">
      <c r="D542" s="19"/>
      <c r="E542" s="19"/>
      <c r="F542" s="19"/>
    </row>
    <row r="543">
      <c r="D543" s="19"/>
      <c r="E543" s="19"/>
      <c r="F543" s="19"/>
    </row>
    <row r="544">
      <c r="D544" s="19"/>
      <c r="E544" s="19"/>
      <c r="F544" s="19"/>
    </row>
    <row r="545">
      <c r="D545" s="19"/>
      <c r="E545" s="19"/>
      <c r="F545" s="19"/>
    </row>
    <row r="546">
      <c r="D546" s="19"/>
      <c r="E546" s="19"/>
      <c r="F546" s="19"/>
    </row>
    <row r="547">
      <c r="D547" s="19"/>
      <c r="E547" s="19"/>
      <c r="F547" s="19"/>
    </row>
    <row r="548">
      <c r="D548" s="19"/>
      <c r="E548" s="19"/>
      <c r="F548" s="19"/>
    </row>
    <row r="549">
      <c r="D549" s="19"/>
      <c r="E549" s="19"/>
      <c r="F549" s="19"/>
    </row>
    <row r="550">
      <c r="D550" s="19"/>
      <c r="E550" s="19"/>
      <c r="F550" s="19"/>
    </row>
    <row r="551">
      <c r="D551" s="19"/>
      <c r="E551" s="19"/>
      <c r="F551" s="19"/>
    </row>
    <row r="552">
      <c r="D552" s="19"/>
      <c r="E552" s="19"/>
      <c r="F552" s="19"/>
    </row>
    <row r="553">
      <c r="D553" s="19"/>
      <c r="E553" s="19"/>
      <c r="F553" s="19"/>
    </row>
    <row r="554">
      <c r="D554" s="19"/>
      <c r="E554" s="19"/>
      <c r="F554" s="19"/>
    </row>
    <row r="555">
      <c r="D555" s="19"/>
      <c r="E555" s="19"/>
      <c r="F555" s="19"/>
    </row>
    <row r="556">
      <c r="D556" s="19"/>
      <c r="E556" s="19"/>
      <c r="F556" s="19"/>
    </row>
    <row r="557">
      <c r="D557" s="19"/>
      <c r="E557" s="19"/>
      <c r="F557" s="19"/>
    </row>
    <row r="558">
      <c r="D558" s="19"/>
      <c r="E558" s="19"/>
      <c r="F558" s="19"/>
    </row>
    <row r="559">
      <c r="D559" s="19"/>
      <c r="E559" s="19"/>
      <c r="F559" s="19"/>
    </row>
    <row r="560">
      <c r="D560" s="19"/>
      <c r="E560" s="19"/>
      <c r="F560" s="19"/>
    </row>
    <row r="561">
      <c r="D561" s="19"/>
      <c r="E561" s="19"/>
      <c r="F561" s="19"/>
    </row>
    <row r="562">
      <c r="D562" s="19"/>
      <c r="E562" s="19"/>
      <c r="F562" s="19"/>
    </row>
    <row r="563">
      <c r="D563" s="19"/>
      <c r="E563" s="19"/>
      <c r="F563" s="19"/>
    </row>
    <row r="564">
      <c r="D564" s="19"/>
      <c r="E564" s="19"/>
      <c r="F564" s="19"/>
    </row>
    <row r="565">
      <c r="D565" s="19"/>
      <c r="E565" s="19"/>
      <c r="F565" s="19"/>
    </row>
    <row r="566">
      <c r="D566" s="19"/>
      <c r="E566" s="19"/>
      <c r="F566" s="19"/>
    </row>
    <row r="567">
      <c r="D567" s="19"/>
      <c r="E567" s="19"/>
      <c r="F567" s="19"/>
    </row>
    <row r="568">
      <c r="D568" s="19"/>
      <c r="E568" s="19"/>
      <c r="F568" s="19"/>
    </row>
    <row r="569">
      <c r="D569" s="19"/>
      <c r="E569" s="19"/>
      <c r="F569" s="19"/>
    </row>
    <row r="570">
      <c r="D570" s="19"/>
      <c r="E570" s="19"/>
      <c r="F570" s="19"/>
    </row>
    <row r="571">
      <c r="D571" s="19"/>
      <c r="E571" s="19"/>
      <c r="F571" s="19"/>
    </row>
    <row r="572">
      <c r="D572" s="19"/>
      <c r="E572" s="19"/>
      <c r="F572" s="19"/>
    </row>
    <row r="573">
      <c r="D573" s="19"/>
      <c r="E573" s="19"/>
      <c r="F573" s="19"/>
    </row>
    <row r="574">
      <c r="D574" s="19"/>
      <c r="E574" s="19"/>
      <c r="F574" s="19"/>
    </row>
    <row r="575">
      <c r="D575" s="19"/>
      <c r="E575" s="19"/>
      <c r="F575" s="19"/>
    </row>
    <row r="576">
      <c r="D576" s="19"/>
      <c r="E576" s="19"/>
      <c r="F576" s="19"/>
    </row>
    <row r="577">
      <c r="D577" s="19"/>
      <c r="E577" s="19"/>
      <c r="F577" s="19"/>
    </row>
    <row r="578">
      <c r="D578" s="19"/>
      <c r="E578" s="19"/>
      <c r="F578" s="19"/>
    </row>
    <row r="579">
      <c r="D579" s="19"/>
      <c r="E579" s="19"/>
      <c r="F579" s="19"/>
    </row>
    <row r="580">
      <c r="D580" s="19"/>
      <c r="E580" s="19"/>
      <c r="F580" s="19"/>
    </row>
    <row r="581">
      <c r="D581" s="19"/>
      <c r="E581" s="19"/>
      <c r="F581" s="19"/>
    </row>
    <row r="582">
      <c r="D582" s="19"/>
      <c r="E582" s="19"/>
      <c r="F582" s="19"/>
    </row>
    <row r="583">
      <c r="D583" s="19"/>
      <c r="E583" s="19"/>
      <c r="F583" s="19"/>
    </row>
    <row r="584">
      <c r="D584" s="19"/>
      <c r="E584" s="19"/>
      <c r="F584" s="19"/>
    </row>
    <row r="585">
      <c r="D585" s="19"/>
      <c r="E585" s="19"/>
      <c r="F585" s="19"/>
    </row>
    <row r="586">
      <c r="D586" s="19"/>
      <c r="E586" s="19"/>
      <c r="F586" s="19"/>
    </row>
    <row r="587">
      <c r="D587" s="19"/>
      <c r="E587" s="19"/>
      <c r="F587" s="19"/>
    </row>
    <row r="588">
      <c r="D588" s="19"/>
      <c r="E588" s="19"/>
      <c r="F588" s="19"/>
    </row>
    <row r="589">
      <c r="D589" s="19"/>
      <c r="E589" s="19"/>
      <c r="F589" s="19"/>
    </row>
    <row r="590">
      <c r="D590" s="19"/>
      <c r="E590" s="19"/>
      <c r="F590" s="19"/>
    </row>
    <row r="591">
      <c r="D591" s="19"/>
      <c r="E591" s="19"/>
      <c r="F591" s="19"/>
    </row>
    <row r="592">
      <c r="D592" s="19"/>
      <c r="E592" s="19"/>
      <c r="F592" s="19"/>
    </row>
    <row r="593">
      <c r="D593" s="19"/>
      <c r="E593" s="19"/>
      <c r="F593" s="19"/>
    </row>
    <row r="594">
      <c r="D594" s="19"/>
      <c r="E594" s="19"/>
      <c r="F594" s="19"/>
    </row>
    <row r="595">
      <c r="D595" s="19"/>
      <c r="E595" s="19"/>
      <c r="F595" s="19"/>
    </row>
    <row r="596">
      <c r="D596" s="19"/>
      <c r="E596" s="19"/>
      <c r="F596" s="19"/>
    </row>
    <row r="597">
      <c r="D597" s="19"/>
      <c r="E597" s="19"/>
      <c r="F597" s="19"/>
    </row>
    <row r="598">
      <c r="D598" s="19"/>
      <c r="E598" s="19"/>
      <c r="F598" s="19"/>
    </row>
    <row r="599">
      <c r="D599" s="19"/>
      <c r="E599" s="19"/>
      <c r="F599" s="19"/>
    </row>
    <row r="600">
      <c r="D600" s="19"/>
      <c r="E600" s="19"/>
      <c r="F600" s="19"/>
    </row>
    <row r="601">
      <c r="D601" s="19"/>
      <c r="E601" s="19"/>
      <c r="F601" s="19"/>
    </row>
    <row r="602">
      <c r="D602" s="19"/>
      <c r="E602" s="19"/>
      <c r="F602" s="19"/>
    </row>
    <row r="603">
      <c r="D603" s="19"/>
      <c r="E603" s="19"/>
      <c r="F603" s="19"/>
    </row>
    <row r="604">
      <c r="D604" s="19"/>
      <c r="E604" s="19"/>
      <c r="F604" s="19"/>
    </row>
    <row r="605">
      <c r="D605" s="19"/>
      <c r="E605" s="19"/>
      <c r="F605" s="19"/>
    </row>
    <row r="606">
      <c r="D606" s="19"/>
      <c r="E606" s="19"/>
      <c r="F606" s="19"/>
    </row>
    <row r="607">
      <c r="D607" s="19"/>
      <c r="E607" s="19"/>
      <c r="F607" s="19"/>
    </row>
    <row r="608">
      <c r="D608" s="19"/>
      <c r="E608" s="19"/>
      <c r="F608" s="19"/>
    </row>
    <row r="609">
      <c r="D609" s="19"/>
      <c r="E609" s="19"/>
      <c r="F609" s="19"/>
    </row>
    <row r="610">
      <c r="D610" s="19"/>
      <c r="E610" s="19"/>
      <c r="F610" s="19"/>
    </row>
    <row r="611">
      <c r="D611" s="19"/>
      <c r="E611" s="19"/>
      <c r="F611" s="19"/>
    </row>
    <row r="612">
      <c r="D612" s="19"/>
      <c r="E612" s="19"/>
      <c r="F612" s="19"/>
    </row>
    <row r="613">
      <c r="D613" s="19"/>
      <c r="E613" s="19"/>
      <c r="F613" s="19"/>
    </row>
    <row r="614">
      <c r="D614" s="19"/>
      <c r="E614" s="19"/>
      <c r="F614" s="19"/>
    </row>
    <row r="615">
      <c r="D615" s="19"/>
      <c r="E615" s="19"/>
      <c r="F615" s="19"/>
    </row>
    <row r="616">
      <c r="D616" s="19"/>
      <c r="E616" s="19"/>
      <c r="F616" s="19"/>
    </row>
    <row r="617">
      <c r="D617" s="19"/>
      <c r="E617" s="19"/>
      <c r="F617" s="19"/>
    </row>
    <row r="618">
      <c r="D618" s="19"/>
      <c r="E618" s="19"/>
      <c r="F618" s="19"/>
    </row>
    <row r="619">
      <c r="D619" s="19"/>
      <c r="E619" s="19"/>
      <c r="F619" s="19"/>
    </row>
    <row r="620">
      <c r="D620" s="19"/>
      <c r="E620" s="19"/>
      <c r="F620" s="19"/>
    </row>
    <row r="621">
      <c r="D621" s="19"/>
      <c r="E621" s="19"/>
      <c r="F621" s="19"/>
    </row>
    <row r="622">
      <c r="D622" s="19"/>
      <c r="E622" s="19"/>
      <c r="F622" s="19"/>
    </row>
    <row r="623">
      <c r="D623" s="19"/>
      <c r="E623" s="19"/>
      <c r="F623" s="19"/>
    </row>
    <row r="624">
      <c r="D624" s="19"/>
      <c r="E624" s="19"/>
      <c r="F624" s="19"/>
    </row>
    <row r="625">
      <c r="D625" s="19"/>
      <c r="E625" s="19"/>
      <c r="F625" s="19"/>
    </row>
    <row r="626">
      <c r="D626" s="19"/>
      <c r="E626" s="19"/>
      <c r="F626" s="19"/>
    </row>
    <row r="627">
      <c r="D627" s="19"/>
      <c r="E627" s="19"/>
      <c r="F627" s="19"/>
    </row>
    <row r="628">
      <c r="D628" s="19"/>
      <c r="E628" s="19"/>
      <c r="F628" s="19"/>
    </row>
    <row r="629">
      <c r="D629" s="19"/>
      <c r="E629" s="19"/>
      <c r="F629" s="19"/>
    </row>
    <row r="630">
      <c r="D630" s="19"/>
      <c r="E630" s="19"/>
      <c r="F630" s="19"/>
    </row>
    <row r="631">
      <c r="D631" s="19"/>
      <c r="E631" s="19"/>
      <c r="F631" s="19"/>
    </row>
    <row r="632">
      <c r="D632" s="19"/>
      <c r="E632" s="19"/>
      <c r="F632" s="19"/>
    </row>
    <row r="633">
      <c r="D633" s="19"/>
      <c r="E633" s="19"/>
      <c r="F633" s="19"/>
    </row>
    <row r="634">
      <c r="D634" s="19"/>
      <c r="E634" s="19"/>
      <c r="F634" s="19"/>
    </row>
    <row r="635">
      <c r="D635" s="19"/>
      <c r="E635" s="19"/>
      <c r="F635" s="19"/>
    </row>
    <row r="636">
      <c r="D636" s="19"/>
      <c r="E636" s="19"/>
      <c r="F636" s="19"/>
    </row>
    <row r="637">
      <c r="D637" s="19"/>
      <c r="E637" s="19"/>
      <c r="F637" s="19"/>
    </row>
    <row r="638">
      <c r="D638" s="19"/>
      <c r="E638" s="19"/>
      <c r="F638" s="19"/>
    </row>
    <row r="639">
      <c r="D639" s="19"/>
      <c r="E639" s="19"/>
      <c r="F639" s="19"/>
    </row>
    <row r="640">
      <c r="D640" s="19"/>
      <c r="E640" s="19"/>
      <c r="F640" s="19"/>
    </row>
    <row r="641">
      <c r="D641" s="19"/>
      <c r="E641" s="19"/>
      <c r="F641" s="19"/>
    </row>
    <row r="642">
      <c r="D642" s="19"/>
      <c r="E642" s="19"/>
      <c r="F642" s="19"/>
    </row>
    <row r="643">
      <c r="D643" s="19"/>
      <c r="E643" s="19"/>
      <c r="F643" s="19"/>
    </row>
    <row r="644">
      <c r="D644" s="19"/>
      <c r="E644" s="19"/>
      <c r="F644" s="19"/>
    </row>
    <row r="645">
      <c r="D645" s="19"/>
      <c r="E645" s="19"/>
      <c r="F645" s="19"/>
    </row>
    <row r="646">
      <c r="D646" s="19"/>
      <c r="E646" s="19"/>
      <c r="F646" s="19"/>
    </row>
    <row r="647">
      <c r="D647" s="19"/>
      <c r="E647" s="19"/>
      <c r="F647" s="19"/>
    </row>
    <row r="648">
      <c r="D648" s="19"/>
      <c r="E648" s="19"/>
      <c r="F648" s="19"/>
    </row>
    <row r="649">
      <c r="D649" s="19"/>
      <c r="E649" s="19"/>
      <c r="F649" s="19"/>
    </row>
    <row r="650">
      <c r="D650" s="19"/>
      <c r="E650" s="19"/>
      <c r="F650" s="19"/>
    </row>
    <row r="651">
      <c r="D651" s="19"/>
      <c r="E651" s="19"/>
      <c r="F651" s="19"/>
    </row>
    <row r="652">
      <c r="D652" s="19"/>
      <c r="E652" s="19"/>
      <c r="F652" s="19"/>
    </row>
    <row r="653">
      <c r="D653" s="19"/>
      <c r="E653" s="19"/>
      <c r="F653" s="19"/>
    </row>
    <row r="654">
      <c r="D654" s="19"/>
      <c r="E654" s="19"/>
      <c r="F654" s="19"/>
    </row>
    <row r="655">
      <c r="D655" s="19"/>
      <c r="E655" s="19"/>
      <c r="F655" s="19"/>
    </row>
    <row r="656">
      <c r="D656" s="19"/>
      <c r="E656" s="19"/>
      <c r="F656" s="19"/>
    </row>
    <row r="657">
      <c r="D657" s="19"/>
      <c r="E657" s="19"/>
      <c r="F657" s="19"/>
    </row>
    <row r="658">
      <c r="D658" s="19"/>
      <c r="E658" s="19"/>
      <c r="F658" s="19"/>
    </row>
    <row r="659">
      <c r="D659" s="19"/>
      <c r="E659" s="19"/>
      <c r="F659" s="19"/>
    </row>
    <row r="660">
      <c r="D660" s="19"/>
      <c r="E660" s="19"/>
      <c r="F660" s="19"/>
    </row>
    <row r="661">
      <c r="D661" s="19"/>
      <c r="E661" s="19"/>
      <c r="F661" s="19"/>
    </row>
    <row r="662">
      <c r="D662" s="19"/>
      <c r="E662" s="19"/>
      <c r="F662" s="19"/>
    </row>
    <row r="663">
      <c r="D663" s="19"/>
      <c r="E663" s="19"/>
      <c r="F663" s="19"/>
    </row>
    <row r="664">
      <c r="D664" s="19"/>
      <c r="E664" s="19"/>
      <c r="F664" s="19"/>
    </row>
    <row r="665">
      <c r="D665" s="19"/>
      <c r="E665" s="19"/>
      <c r="F665" s="19"/>
    </row>
    <row r="666">
      <c r="D666" s="19"/>
      <c r="E666" s="19"/>
      <c r="F666" s="19"/>
    </row>
    <row r="667">
      <c r="D667" s="19"/>
      <c r="E667" s="19"/>
      <c r="F667" s="19"/>
    </row>
    <row r="668">
      <c r="D668" s="19"/>
      <c r="E668" s="19"/>
      <c r="F668" s="19"/>
    </row>
    <row r="669">
      <c r="D669" s="19"/>
      <c r="E669" s="19"/>
      <c r="F669" s="19"/>
    </row>
    <row r="670">
      <c r="D670" s="19"/>
      <c r="E670" s="19"/>
      <c r="F670" s="19"/>
    </row>
    <row r="671">
      <c r="D671" s="19"/>
      <c r="E671" s="19"/>
      <c r="F671" s="19"/>
    </row>
    <row r="672">
      <c r="D672" s="19"/>
      <c r="E672" s="19"/>
      <c r="F672" s="19"/>
    </row>
    <row r="673">
      <c r="D673" s="19"/>
      <c r="E673" s="19"/>
      <c r="F673" s="19"/>
    </row>
    <row r="674">
      <c r="D674" s="19"/>
      <c r="E674" s="19"/>
      <c r="F674" s="19"/>
    </row>
    <row r="675">
      <c r="D675" s="19"/>
      <c r="E675" s="19"/>
      <c r="F675" s="19"/>
    </row>
    <row r="676">
      <c r="D676" s="19"/>
      <c r="E676" s="19"/>
      <c r="F676" s="19"/>
    </row>
    <row r="677">
      <c r="D677" s="19"/>
      <c r="E677" s="19"/>
      <c r="F677" s="19"/>
    </row>
    <row r="678">
      <c r="D678" s="19"/>
      <c r="E678" s="19"/>
      <c r="F678" s="19"/>
    </row>
    <row r="679">
      <c r="D679" s="19"/>
      <c r="E679" s="19"/>
      <c r="F679" s="19"/>
    </row>
    <row r="680">
      <c r="D680" s="19"/>
      <c r="E680" s="19"/>
      <c r="F680" s="19"/>
    </row>
    <row r="681">
      <c r="D681" s="19"/>
      <c r="E681" s="19"/>
      <c r="F681" s="19"/>
    </row>
    <row r="682">
      <c r="D682" s="19"/>
      <c r="E682" s="19"/>
      <c r="F682" s="19"/>
    </row>
    <row r="683">
      <c r="D683" s="19"/>
      <c r="E683" s="19"/>
      <c r="F683" s="19"/>
    </row>
    <row r="684">
      <c r="D684" s="19"/>
      <c r="E684" s="19"/>
      <c r="F684" s="19"/>
    </row>
    <row r="685">
      <c r="D685" s="19"/>
      <c r="E685" s="19"/>
      <c r="F685" s="19"/>
    </row>
    <row r="686">
      <c r="D686" s="19"/>
      <c r="E686" s="19"/>
      <c r="F686" s="19"/>
    </row>
    <row r="687">
      <c r="D687" s="19"/>
      <c r="E687" s="19"/>
      <c r="F687" s="19"/>
    </row>
    <row r="688">
      <c r="D688" s="19"/>
      <c r="E688" s="19"/>
      <c r="F688" s="19"/>
    </row>
    <row r="689">
      <c r="D689" s="19"/>
      <c r="E689" s="19"/>
      <c r="F689" s="19"/>
    </row>
    <row r="690">
      <c r="D690" s="19"/>
      <c r="E690" s="19"/>
      <c r="F690" s="19"/>
    </row>
    <row r="691">
      <c r="D691" s="19"/>
      <c r="E691" s="19"/>
      <c r="F691" s="19"/>
    </row>
    <row r="692">
      <c r="D692" s="19"/>
      <c r="E692" s="19"/>
      <c r="F692" s="19"/>
    </row>
    <row r="693">
      <c r="D693" s="19"/>
      <c r="E693" s="19"/>
      <c r="F693" s="19"/>
    </row>
    <row r="694">
      <c r="D694" s="19"/>
      <c r="E694" s="19"/>
      <c r="F694" s="19"/>
    </row>
    <row r="695">
      <c r="D695" s="19"/>
      <c r="E695" s="19"/>
      <c r="F695" s="19"/>
    </row>
    <row r="696">
      <c r="D696" s="19"/>
      <c r="E696" s="19"/>
      <c r="F696" s="19"/>
    </row>
    <row r="697">
      <c r="D697" s="19"/>
      <c r="E697" s="19"/>
      <c r="F697" s="19"/>
    </row>
    <row r="698">
      <c r="D698" s="19"/>
      <c r="E698" s="19"/>
      <c r="F698" s="19"/>
    </row>
    <row r="699">
      <c r="D699" s="19"/>
      <c r="E699" s="19"/>
      <c r="F699" s="19"/>
    </row>
    <row r="700">
      <c r="D700" s="19"/>
      <c r="E700" s="19"/>
      <c r="F700" s="19"/>
    </row>
    <row r="701">
      <c r="D701" s="19"/>
      <c r="E701" s="19"/>
      <c r="F701" s="19"/>
    </row>
    <row r="702">
      <c r="D702" s="19"/>
      <c r="E702" s="19"/>
      <c r="F702" s="19"/>
    </row>
    <row r="703">
      <c r="D703" s="19"/>
      <c r="E703" s="19"/>
      <c r="F703" s="19"/>
    </row>
    <row r="704">
      <c r="D704" s="19"/>
      <c r="E704" s="19"/>
      <c r="F704" s="19"/>
    </row>
    <row r="705">
      <c r="D705" s="19"/>
      <c r="E705" s="19"/>
      <c r="F705" s="19"/>
    </row>
    <row r="706">
      <c r="D706" s="19"/>
      <c r="E706" s="19"/>
      <c r="F706" s="19"/>
    </row>
    <row r="707">
      <c r="D707" s="19"/>
      <c r="E707" s="19"/>
      <c r="F707" s="19"/>
    </row>
    <row r="708">
      <c r="D708" s="19"/>
      <c r="E708" s="19"/>
      <c r="F708" s="19"/>
    </row>
    <row r="709">
      <c r="D709" s="19"/>
      <c r="E709" s="19"/>
      <c r="F709" s="19"/>
    </row>
    <row r="710">
      <c r="D710" s="19"/>
      <c r="E710" s="19"/>
      <c r="F710" s="19"/>
    </row>
    <row r="711">
      <c r="D711" s="19"/>
      <c r="E711" s="19"/>
      <c r="F711" s="19"/>
    </row>
    <row r="712">
      <c r="D712" s="19"/>
      <c r="E712" s="19"/>
      <c r="F712" s="19"/>
    </row>
    <row r="713">
      <c r="D713" s="19"/>
      <c r="E713" s="19"/>
      <c r="F713" s="19"/>
    </row>
    <row r="714">
      <c r="D714" s="19"/>
      <c r="E714" s="19"/>
      <c r="F714" s="19"/>
    </row>
    <row r="715">
      <c r="D715" s="19"/>
      <c r="E715" s="19"/>
      <c r="F715" s="19"/>
    </row>
    <row r="716">
      <c r="D716" s="19"/>
      <c r="E716" s="19"/>
      <c r="F716" s="19"/>
    </row>
    <row r="717">
      <c r="D717" s="19"/>
      <c r="E717" s="19"/>
      <c r="F717" s="19"/>
    </row>
    <row r="718">
      <c r="D718" s="19"/>
      <c r="E718" s="19"/>
      <c r="F718" s="19"/>
    </row>
    <row r="719">
      <c r="D719" s="19"/>
      <c r="E719" s="19"/>
      <c r="F719" s="19"/>
    </row>
    <row r="720">
      <c r="D720" s="19"/>
      <c r="E720" s="19"/>
      <c r="F720" s="19"/>
    </row>
    <row r="721">
      <c r="D721" s="19"/>
      <c r="E721" s="19"/>
      <c r="F721" s="19"/>
    </row>
    <row r="722">
      <c r="D722" s="19"/>
      <c r="E722" s="19"/>
      <c r="F722" s="19"/>
    </row>
    <row r="723">
      <c r="D723" s="19"/>
      <c r="E723" s="19"/>
      <c r="F723" s="19"/>
    </row>
    <row r="724">
      <c r="D724" s="19"/>
      <c r="E724" s="19"/>
      <c r="F724" s="19"/>
    </row>
    <row r="725">
      <c r="D725" s="19"/>
      <c r="E725" s="19"/>
      <c r="F725" s="19"/>
    </row>
    <row r="726">
      <c r="D726" s="19"/>
      <c r="E726" s="19"/>
      <c r="F726" s="19"/>
    </row>
    <row r="727">
      <c r="D727" s="19"/>
      <c r="E727" s="19"/>
      <c r="F727" s="19"/>
    </row>
    <row r="728">
      <c r="D728" s="19"/>
      <c r="E728" s="19"/>
      <c r="F728" s="19"/>
    </row>
    <row r="729">
      <c r="D729" s="19"/>
      <c r="E729" s="19"/>
      <c r="F729" s="19"/>
    </row>
    <row r="730">
      <c r="D730" s="19"/>
      <c r="E730" s="19"/>
      <c r="F730" s="19"/>
    </row>
    <row r="731">
      <c r="D731" s="19"/>
      <c r="E731" s="19"/>
      <c r="F731" s="19"/>
    </row>
    <row r="732">
      <c r="D732" s="19"/>
      <c r="E732" s="19"/>
      <c r="F732" s="19"/>
    </row>
    <row r="733">
      <c r="D733" s="19"/>
      <c r="E733" s="19"/>
      <c r="F733" s="19"/>
    </row>
    <row r="734">
      <c r="D734" s="19"/>
      <c r="E734" s="19"/>
      <c r="F734" s="19"/>
    </row>
    <row r="735">
      <c r="D735" s="19"/>
      <c r="E735" s="19"/>
      <c r="F735" s="19"/>
    </row>
    <row r="736">
      <c r="D736" s="19"/>
      <c r="E736" s="19"/>
      <c r="F736" s="19"/>
    </row>
    <row r="737">
      <c r="D737" s="19"/>
      <c r="E737" s="19"/>
      <c r="F737" s="19"/>
    </row>
    <row r="738">
      <c r="D738" s="19"/>
      <c r="E738" s="19"/>
      <c r="F738" s="19"/>
    </row>
    <row r="739">
      <c r="D739" s="19"/>
      <c r="E739" s="19"/>
      <c r="F739" s="19"/>
    </row>
    <row r="740">
      <c r="D740" s="19"/>
      <c r="E740" s="19"/>
      <c r="F740" s="19"/>
    </row>
    <row r="741">
      <c r="D741" s="19"/>
      <c r="E741" s="19"/>
      <c r="F741" s="19"/>
    </row>
    <row r="742">
      <c r="D742" s="19"/>
      <c r="E742" s="19"/>
      <c r="F742" s="19"/>
    </row>
    <row r="743">
      <c r="D743" s="19"/>
      <c r="E743" s="19"/>
      <c r="F743" s="19"/>
    </row>
    <row r="744">
      <c r="D744" s="19"/>
      <c r="E744" s="19"/>
      <c r="F744" s="19"/>
    </row>
    <row r="745">
      <c r="D745" s="19"/>
      <c r="E745" s="19"/>
      <c r="F745" s="19"/>
    </row>
    <row r="746">
      <c r="D746" s="19"/>
      <c r="E746" s="19"/>
      <c r="F746" s="19"/>
    </row>
    <row r="747">
      <c r="D747" s="19"/>
      <c r="E747" s="19"/>
      <c r="F747" s="19"/>
    </row>
    <row r="748">
      <c r="D748" s="19"/>
      <c r="E748" s="19"/>
      <c r="F748" s="19"/>
    </row>
    <row r="749">
      <c r="D749" s="19"/>
      <c r="E749" s="19"/>
      <c r="F749" s="19"/>
    </row>
    <row r="750">
      <c r="D750" s="19"/>
      <c r="E750" s="19"/>
      <c r="F750" s="19"/>
    </row>
    <row r="751">
      <c r="D751" s="19"/>
      <c r="E751" s="19"/>
      <c r="F751" s="19"/>
    </row>
    <row r="752">
      <c r="D752" s="19"/>
      <c r="E752" s="19"/>
      <c r="F752" s="19"/>
    </row>
    <row r="753">
      <c r="D753" s="19"/>
      <c r="E753" s="19"/>
      <c r="F753" s="19"/>
    </row>
    <row r="754">
      <c r="D754" s="19"/>
      <c r="E754" s="19"/>
      <c r="F754" s="19"/>
    </row>
    <row r="755">
      <c r="D755" s="19"/>
      <c r="E755" s="19"/>
      <c r="F755" s="19"/>
    </row>
    <row r="756">
      <c r="D756" s="19"/>
      <c r="E756" s="19"/>
      <c r="F756" s="19"/>
    </row>
    <row r="757">
      <c r="D757" s="19"/>
      <c r="E757" s="19"/>
      <c r="F757" s="19"/>
    </row>
    <row r="758">
      <c r="D758" s="19"/>
      <c r="E758" s="19"/>
      <c r="F758" s="19"/>
    </row>
    <row r="759">
      <c r="D759" s="19"/>
      <c r="E759" s="19"/>
      <c r="F759" s="19"/>
    </row>
    <row r="760">
      <c r="D760" s="19"/>
      <c r="E760" s="19"/>
      <c r="F760" s="19"/>
    </row>
    <row r="761">
      <c r="D761" s="19"/>
      <c r="E761" s="19"/>
      <c r="F761" s="19"/>
    </row>
    <row r="762">
      <c r="D762" s="19"/>
      <c r="E762" s="19"/>
      <c r="F762" s="19"/>
    </row>
    <row r="763">
      <c r="D763" s="19"/>
      <c r="E763" s="19"/>
      <c r="F763" s="19"/>
    </row>
    <row r="764">
      <c r="D764" s="19"/>
      <c r="E764" s="19"/>
      <c r="F764" s="19"/>
    </row>
    <row r="765">
      <c r="D765" s="19"/>
      <c r="E765" s="19"/>
      <c r="F765" s="19"/>
    </row>
    <row r="766">
      <c r="D766" s="19"/>
      <c r="E766" s="19"/>
      <c r="F766" s="19"/>
    </row>
    <row r="767">
      <c r="D767" s="19"/>
      <c r="E767" s="19"/>
      <c r="F767" s="19"/>
    </row>
    <row r="768">
      <c r="D768" s="19"/>
      <c r="E768" s="19"/>
      <c r="F768" s="19"/>
    </row>
    <row r="769">
      <c r="D769" s="19"/>
      <c r="E769" s="19"/>
      <c r="F769" s="19"/>
    </row>
    <row r="770">
      <c r="D770" s="19"/>
      <c r="E770" s="19"/>
      <c r="F770" s="19"/>
    </row>
    <row r="771">
      <c r="D771" s="19"/>
      <c r="E771" s="19"/>
      <c r="F771" s="19"/>
    </row>
    <row r="772">
      <c r="D772" s="19"/>
      <c r="E772" s="19"/>
      <c r="F772" s="19"/>
    </row>
    <row r="773">
      <c r="D773" s="19"/>
      <c r="E773" s="19"/>
      <c r="F773" s="19"/>
    </row>
    <row r="774">
      <c r="D774" s="19"/>
      <c r="E774" s="19"/>
      <c r="F774" s="19"/>
    </row>
    <row r="775">
      <c r="D775" s="19"/>
      <c r="E775" s="19"/>
      <c r="F775" s="19"/>
    </row>
    <row r="776">
      <c r="D776" s="19"/>
      <c r="E776" s="19"/>
      <c r="F776" s="19"/>
    </row>
    <row r="777">
      <c r="D777" s="19"/>
      <c r="E777" s="19"/>
      <c r="F777" s="19"/>
    </row>
    <row r="778">
      <c r="D778" s="19"/>
      <c r="E778" s="19"/>
      <c r="F778" s="19"/>
    </row>
    <row r="779">
      <c r="D779" s="19"/>
      <c r="E779" s="19"/>
      <c r="F779" s="19"/>
    </row>
    <row r="780">
      <c r="D780" s="19"/>
      <c r="E780" s="19"/>
      <c r="F780" s="19"/>
    </row>
    <row r="781">
      <c r="D781" s="19"/>
      <c r="E781" s="19"/>
      <c r="F781" s="19"/>
    </row>
    <row r="782">
      <c r="D782" s="19"/>
      <c r="E782" s="19"/>
      <c r="F782" s="19"/>
    </row>
    <row r="783">
      <c r="D783" s="19"/>
      <c r="E783" s="19"/>
      <c r="F783" s="19"/>
    </row>
    <row r="784">
      <c r="D784" s="19"/>
      <c r="E784" s="19"/>
      <c r="F784" s="19"/>
    </row>
    <row r="785">
      <c r="D785" s="19"/>
      <c r="E785" s="19"/>
      <c r="F785" s="19"/>
    </row>
    <row r="786">
      <c r="D786" s="19"/>
      <c r="E786" s="19"/>
      <c r="F786" s="19"/>
    </row>
    <row r="787">
      <c r="D787" s="19"/>
      <c r="E787" s="19"/>
      <c r="F787" s="19"/>
    </row>
    <row r="788">
      <c r="D788" s="19"/>
      <c r="E788" s="19"/>
      <c r="F788" s="19"/>
    </row>
    <row r="789">
      <c r="D789" s="19"/>
      <c r="E789" s="19"/>
      <c r="F789" s="19"/>
    </row>
    <row r="790">
      <c r="D790" s="19"/>
      <c r="E790" s="19"/>
      <c r="F790" s="19"/>
    </row>
    <row r="791">
      <c r="D791" s="19"/>
      <c r="E791" s="19"/>
      <c r="F791" s="19"/>
    </row>
    <row r="792">
      <c r="D792" s="19"/>
      <c r="E792" s="19"/>
      <c r="F792" s="19"/>
    </row>
    <row r="793">
      <c r="D793" s="19"/>
      <c r="E793" s="19"/>
      <c r="F793" s="19"/>
    </row>
    <row r="794">
      <c r="D794" s="19"/>
      <c r="E794" s="19"/>
      <c r="F794" s="19"/>
    </row>
    <row r="795">
      <c r="D795" s="19"/>
      <c r="E795" s="19"/>
      <c r="F795" s="19"/>
    </row>
    <row r="796">
      <c r="D796" s="19"/>
      <c r="E796" s="19"/>
      <c r="F796" s="19"/>
    </row>
    <row r="797">
      <c r="D797" s="19"/>
      <c r="E797" s="19"/>
      <c r="F797" s="19"/>
    </row>
    <row r="798">
      <c r="D798" s="19"/>
      <c r="E798" s="19"/>
      <c r="F798" s="19"/>
    </row>
    <row r="799">
      <c r="D799" s="19"/>
      <c r="E799" s="19"/>
      <c r="F799" s="19"/>
    </row>
    <row r="800">
      <c r="D800" s="19"/>
      <c r="E800" s="19"/>
      <c r="F800" s="19"/>
    </row>
    <row r="801">
      <c r="D801" s="19"/>
      <c r="E801" s="19"/>
      <c r="F801" s="19"/>
    </row>
    <row r="802">
      <c r="D802" s="19"/>
      <c r="E802" s="19"/>
      <c r="F802" s="19"/>
    </row>
    <row r="803">
      <c r="D803" s="19"/>
      <c r="E803" s="19"/>
      <c r="F803" s="19"/>
    </row>
    <row r="804">
      <c r="D804" s="19"/>
      <c r="E804" s="19"/>
      <c r="F804" s="19"/>
    </row>
    <row r="805">
      <c r="D805" s="19"/>
      <c r="E805" s="19"/>
      <c r="F805" s="19"/>
    </row>
    <row r="806">
      <c r="D806" s="19"/>
      <c r="E806" s="19"/>
      <c r="F806" s="19"/>
    </row>
    <row r="807">
      <c r="D807" s="19"/>
      <c r="E807" s="19"/>
      <c r="F807" s="19"/>
    </row>
    <row r="808">
      <c r="D808" s="19"/>
      <c r="E808" s="19"/>
      <c r="F808" s="19"/>
    </row>
    <row r="809">
      <c r="D809" s="19"/>
      <c r="E809" s="19"/>
      <c r="F809" s="19"/>
    </row>
    <row r="810">
      <c r="D810" s="19"/>
      <c r="E810" s="19"/>
      <c r="F810" s="19"/>
    </row>
    <row r="811">
      <c r="D811" s="19"/>
      <c r="E811" s="19"/>
      <c r="F811" s="19"/>
    </row>
    <row r="812">
      <c r="D812" s="19"/>
      <c r="E812" s="19"/>
      <c r="F812" s="19"/>
    </row>
    <row r="813">
      <c r="D813" s="19"/>
      <c r="E813" s="19"/>
      <c r="F813" s="19"/>
    </row>
    <row r="814">
      <c r="D814" s="19"/>
      <c r="E814" s="19"/>
      <c r="F814" s="19"/>
    </row>
    <row r="815">
      <c r="D815" s="19"/>
      <c r="E815" s="19"/>
      <c r="F815" s="19"/>
    </row>
    <row r="816">
      <c r="D816" s="19"/>
      <c r="E816" s="19"/>
      <c r="F816" s="19"/>
    </row>
    <row r="817">
      <c r="D817" s="19"/>
      <c r="E817" s="19"/>
      <c r="F817" s="19"/>
    </row>
    <row r="818">
      <c r="D818" s="19"/>
      <c r="E818" s="19"/>
      <c r="F818" s="19"/>
    </row>
    <row r="819">
      <c r="D819" s="19"/>
      <c r="E819" s="19"/>
      <c r="F819" s="19"/>
    </row>
    <row r="820">
      <c r="D820" s="19"/>
      <c r="E820" s="19"/>
      <c r="F820" s="19"/>
    </row>
    <row r="821">
      <c r="D821" s="19"/>
      <c r="E821" s="19"/>
      <c r="F821" s="19"/>
    </row>
    <row r="822">
      <c r="D822" s="19"/>
      <c r="E822" s="19"/>
      <c r="F822" s="19"/>
    </row>
    <row r="823">
      <c r="D823" s="19"/>
      <c r="E823" s="19"/>
      <c r="F823" s="19"/>
    </row>
    <row r="824">
      <c r="D824" s="19"/>
      <c r="E824" s="19"/>
      <c r="F824" s="19"/>
    </row>
    <row r="825">
      <c r="D825" s="19"/>
      <c r="E825" s="19"/>
      <c r="F825" s="19"/>
    </row>
    <row r="826">
      <c r="D826" s="19"/>
      <c r="E826" s="19"/>
      <c r="F826" s="19"/>
    </row>
    <row r="827">
      <c r="D827" s="19"/>
      <c r="E827" s="19"/>
      <c r="F827" s="19"/>
    </row>
    <row r="828">
      <c r="D828" s="19"/>
      <c r="E828" s="19"/>
      <c r="F828" s="19"/>
    </row>
    <row r="829">
      <c r="D829" s="19"/>
      <c r="E829" s="19"/>
      <c r="F829" s="19"/>
    </row>
    <row r="830">
      <c r="D830" s="19"/>
      <c r="E830" s="19"/>
      <c r="F830" s="19"/>
    </row>
    <row r="831">
      <c r="D831" s="19"/>
      <c r="E831" s="19"/>
      <c r="F831" s="19"/>
    </row>
    <row r="832">
      <c r="D832" s="19"/>
      <c r="E832" s="19"/>
      <c r="F832" s="19"/>
    </row>
    <row r="833">
      <c r="D833" s="19"/>
      <c r="E833" s="19"/>
      <c r="F833" s="19"/>
    </row>
    <row r="834">
      <c r="D834" s="19"/>
      <c r="E834" s="19"/>
      <c r="F834" s="19"/>
    </row>
    <row r="835">
      <c r="D835" s="19"/>
      <c r="E835" s="19"/>
      <c r="F835" s="19"/>
    </row>
    <row r="836">
      <c r="D836" s="19"/>
      <c r="E836" s="19"/>
      <c r="F836" s="19"/>
    </row>
    <row r="837">
      <c r="D837" s="19"/>
      <c r="E837" s="19"/>
      <c r="F837" s="19"/>
    </row>
    <row r="838">
      <c r="D838" s="19"/>
      <c r="E838" s="19"/>
      <c r="F838" s="19"/>
    </row>
    <row r="839">
      <c r="D839" s="19"/>
      <c r="E839" s="19"/>
      <c r="F839" s="19"/>
    </row>
    <row r="840">
      <c r="D840" s="19"/>
      <c r="E840" s="19"/>
      <c r="F840" s="19"/>
    </row>
    <row r="841">
      <c r="D841" s="19"/>
      <c r="E841" s="19"/>
      <c r="F841" s="19"/>
    </row>
    <row r="842">
      <c r="D842" s="19"/>
      <c r="E842" s="19"/>
      <c r="F842" s="19"/>
    </row>
    <row r="843">
      <c r="D843" s="19"/>
      <c r="E843" s="19"/>
      <c r="F843" s="19"/>
    </row>
    <row r="844">
      <c r="D844" s="19"/>
      <c r="E844" s="19"/>
      <c r="F844" s="19"/>
    </row>
    <row r="845">
      <c r="D845" s="19"/>
      <c r="E845" s="19"/>
      <c r="F845" s="19"/>
    </row>
    <row r="846">
      <c r="D846" s="19"/>
      <c r="E846" s="19"/>
      <c r="F846" s="19"/>
    </row>
    <row r="847">
      <c r="D847" s="19"/>
      <c r="E847" s="19"/>
      <c r="F847" s="19"/>
    </row>
    <row r="848">
      <c r="D848" s="19"/>
      <c r="E848" s="19"/>
      <c r="F848" s="19"/>
    </row>
    <row r="849">
      <c r="D849" s="19"/>
      <c r="E849" s="19"/>
      <c r="F849" s="19"/>
    </row>
    <row r="850">
      <c r="D850" s="19"/>
      <c r="E850" s="19"/>
      <c r="F850" s="19"/>
    </row>
    <row r="851">
      <c r="D851" s="19"/>
      <c r="E851" s="19"/>
      <c r="F851" s="19"/>
    </row>
    <row r="852">
      <c r="D852" s="19"/>
      <c r="E852" s="19"/>
      <c r="F852" s="19"/>
    </row>
    <row r="853">
      <c r="D853" s="19"/>
      <c r="E853" s="19"/>
      <c r="F853" s="19"/>
    </row>
    <row r="854">
      <c r="D854" s="19"/>
      <c r="E854" s="19"/>
      <c r="F854" s="19"/>
    </row>
    <row r="855">
      <c r="D855" s="19"/>
      <c r="E855" s="19"/>
      <c r="F855" s="19"/>
    </row>
    <row r="856">
      <c r="D856" s="19"/>
      <c r="E856" s="19"/>
      <c r="F856" s="19"/>
    </row>
    <row r="857">
      <c r="D857" s="19"/>
      <c r="E857" s="19"/>
      <c r="F857" s="19"/>
    </row>
    <row r="858">
      <c r="D858" s="19"/>
      <c r="E858" s="19"/>
      <c r="F858" s="19"/>
    </row>
    <row r="859">
      <c r="D859" s="19"/>
      <c r="E859" s="19"/>
      <c r="F859" s="19"/>
    </row>
    <row r="860">
      <c r="D860" s="19"/>
      <c r="E860" s="19"/>
      <c r="F860" s="19"/>
    </row>
    <row r="861">
      <c r="D861" s="19"/>
      <c r="E861" s="19"/>
      <c r="F861" s="19"/>
    </row>
    <row r="862">
      <c r="D862" s="19"/>
      <c r="E862" s="19"/>
      <c r="F862" s="19"/>
    </row>
    <row r="863">
      <c r="D863" s="19"/>
      <c r="E863" s="19"/>
      <c r="F863" s="19"/>
    </row>
    <row r="864">
      <c r="D864" s="19"/>
      <c r="E864" s="19"/>
      <c r="F864" s="19"/>
    </row>
    <row r="865">
      <c r="D865" s="19"/>
      <c r="E865" s="19"/>
      <c r="F865" s="19"/>
    </row>
    <row r="866">
      <c r="D866" s="19"/>
      <c r="E866" s="19"/>
      <c r="F866" s="19"/>
    </row>
    <row r="867">
      <c r="D867" s="19"/>
      <c r="E867" s="19"/>
      <c r="F867" s="19"/>
    </row>
    <row r="868">
      <c r="D868" s="19"/>
      <c r="E868" s="19"/>
      <c r="F868" s="19"/>
    </row>
    <row r="869">
      <c r="D869" s="19"/>
      <c r="E869" s="19"/>
      <c r="F869" s="19"/>
    </row>
    <row r="870">
      <c r="D870" s="19"/>
      <c r="E870" s="19"/>
      <c r="F870" s="19"/>
    </row>
    <row r="871">
      <c r="D871" s="19"/>
      <c r="E871" s="19"/>
      <c r="F871" s="19"/>
    </row>
    <row r="872">
      <c r="D872" s="19"/>
      <c r="E872" s="19"/>
      <c r="F872" s="19"/>
    </row>
    <row r="873">
      <c r="D873" s="19"/>
      <c r="E873" s="19"/>
      <c r="F873" s="19"/>
    </row>
    <row r="874">
      <c r="D874" s="19"/>
      <c r="E874" s="19"/>
      <c r="F874" s="19"/>
    </row>
    <row r="875">
      <c r="D875" s="19"/>
      <c r="E875" s="19"/>
      <c r="F875" s="19"/>
    </row>
    <row r="876">
      <c r="D876" s="19"/>
      <c r="E876" s="19"/>
      <c r="F876" s="19"/>
    </row>
    <row r="877">
      <c r="D877" s="19"/>
      <c r="E877" s="19"/>
      <c r="F877" s="19"/>
    </row>
    <row r="878">
      <c r="D878" s="19"/>
      <c r="E878" s="19"/>
      <c r="F878" s="19"/>
    </row>
    <row r="879">
      <c r="D879" s="19"/>
      <c r="E879" s="19"/>
      <c r="F879" s="19"/>
    </row>
    <row r="880">
      <c r="D880" s="19"/>
      <c r="E880" s="19"/>
      <c r="F880" s="19"/>
    </row>
    <row r="881">
      <c r="D881" s="19"/>
      <c r="E881" s="19"/>
      <c r="F881" s="19"/>
    </row>
    <row r="882">
      <c r="D882" s="19"/>
      <c r="E882" s="19"/>
      <c r="F882" s="19"/>
    </row>
    <row r="883">
      <c r="D883" s="19"/>
      <c r="E883" s="19"/>
      <c r="F883" s="19"/>
    </row>
    <row r="884">
      <c r="D884" s="19"/>
      <c r="E884" s="19"/>
      <c r="F884" s="19"/>
    </row>
    <row r="885">
      <c r="D885" s="19"/>
      <c r="E885" s="19"/>
      <c r="F885" s="19"/>
    </row>
    <row r="886">
      <c r="D886" s="19"/>
      <c r="E886" s="19"/>
      <c r="F886" s="19"/>
    </row>
    <row r="887">
      <c r="D887" s="19"/>
      <c r="E887" s="19"/>
      <c r="F887" s="19"/>
    </row>
    <row r="888">
      <c r="D888" s="19"/>
      <c r="E888" s="19"/>
      <c r="F888" s="19"/>
    </row>
    <row r="889">
      <c r="D889" s="19"/>
      <c r="E889" s="19"/>
      <c r="F889" s="19"/>
    </row>
    <row r="890">
      <c r="D890" s="19"/>
      <c r="E890" s="19"/>
      <c r="F890" s="19"/>
    </row>
    <row r="891">
      <c r="D891" s="19"/>
      <c r="E891" s="19"/>
      <c r="F891" s="19"/>
    </row>
    <row r="892">
      <c r="D892" s="19"/>
      <c r="E892" s="19"/>
      <c r="F892" s="19"/>
    </row>
    <row r="893">
      <c r="D893" s="19"/>
      <c r="E893" s="19"/>
      <c r="F893" s="19"/>
    </row>
    <row r="894">
      <c r="D894" s="19"/>
      <c r="E894" s="19"/>
      <c r="F894" s="19"/>
    </row>
    <row r="895">
      <c r="D895" s="19"/>
      <c r="E895" s="19"/>
      <c r="F895" s="19"/>
    </row>
    <row r="896">
      <c r="D896" s="19"/>
      <c r="E896" s="19"/>
      <c r="F896" s="19"/>
    </row>
    <row r="897">
      <c r="D897" s="19"/>
      <c r="E897" s="19"/>
      <c r="F897" s="19"/>
    </row>
    <row r="898">
      <c r="D898" s="19"/>
      <c r="E898" s="19"/>
      <c r="F898" s="19"/>
    </row>
    <row r="899">
      <c r="D899" s="19"/>
      <c r="E899" s="19"/>
      <c r="F899" s="19"/>
    </row>
    <row r="900">
      <c r="D900" s="19"/>
      <c r="E900" s="19"/>
      <c r="F900" s="19"/>
    </row>
    <row r="901">
      <c r="D901" s="19"/>
      <c r="E901" s="19"/>
      <c r="F901" s="19"/>
    </row>
    <row r="902">
      <c r="D902" s="19"/>
      <c r="E902" s="19"/>
      <c r="F902" s="19"/>
    </row>
    <row r="903">
      <c r="D903" s="19"/>
      <c r="E903" s="19"/>
      <c r="F903" s="19"/>
    </row>
    <row r="904">
      <c r="D904" s="19"/>
      <c r="E904" s="19"/>
      <c r="F904" s="19"/>
    </row>
    <row r="905">
      <c r="D905" s="19"/>
      <c r="E905" s="19"/>
      <c r="F905" s="19"/>
    </row>
    <row r="906">
      <c r="D906" s="19"/>
      <c r="E906" s="19"/>
      <c r="F906" s="19"/>
    </row>
    <row r="907">
      <c r="D907" s="19"/>
      <c r="E907" s="19"/>
      <c r="F907" s="19"/>
    </row>
    <row r="908">
      <c r="D908" s="19"/>
      <c r="E908" s="19"/>
      <c r="F908" s="19"/>
    </row>
    <row r="909">
      <c r="D909" s="19"/>
      <c r="E909" s="19"/>
      <c r="F909" s="19"/>
    </row>
    <row r="910">
      <c r="D910" s="19"/>
      <c r="E910" s="19"/>
      <c r="F910" s="19"/>
    </row>
    <row r="911">
      <c r="D911" s="19"/>
      <c r="E911" s="19"/>
      <c r="F911" s="19"/>
    </row>
    <row r="912">
      <c r="D912" s="19"/>
      <c r="E912" s="19"/>
      <c r="F912" s="19"/>
    </row>
    <row r="913">
      <c r="D913" s="19"/>
      <c r="E913" s="19"/>
      <c r="F913" s="19"/>
    </row>
    <row r="914">
      <c r="D914" s="19"/>
      <c r="E914" s="19"/>
      <c r="F914" s="19"/>
    </row>
    <row r="915">
      <c r="D915" s="19"/>
      <c r="E915" s="19"/>
      <c r="F915" s="19"/>
    </row>
    <row r="916">
      <c r="D916" s="19"/>
      <c r="E916" s="19"/>
      <c r="F916" s="19"/>
    </row>
    <row r="917">
      <c r="D917" s="19"/>
      <c r="E917" s="19"/>
      <c r="F917" s="19"/>
    </row>
    <row r="918">
      <c r="D918" s="19"/>
      <c r="E918" s="19"/>
      <c r="F918" s="19"/>
    </row>
    <row r="919">
      <c r="D919" s="19"/>
      <c r="E919" s="19"/>
      <c r="F919" s="19"/>
    </row>
    <row r="920">
      <c r="D920" s="19"/>
      <c r="E920" s="19"/>
      <c r="F920" s="19"/>
    </row>
    <row r="921">
      <c r="D921" s="19"/>
      <c r="E921" s="19"/>
      <c r="F921" s="19"/>
    </row>
    <row r="922">
      <c r="D922" s="19"/>
      <c r="E922" s="19"/>
      <c r="F922" s="19"/>
    </row>
    <row r="923">
      <c r="D923" s="19"/>
      <c r="E923" s="19"/>
      <c r="F923" s="19"/>
    </row>
    <row r="924">
      <c r="D924" s="19"/>
      <c r="E924" s="19"/>
      <c r="F924" s="19"/>
    </row>
    <row r="925">
      <c r="D925" s="19"/>
      <c r="E925" s="19"/>
      <c r="F925" s="19"/>
    </row>
    <row r="926">
      <c r="D926" s="19"/>
      <c r="E926" s="19"/>
      <c r="F926" s="19"/>
    </row>
    <row r="927">
      <c r="D927" s="19"/>
      <c r="E927" s="19"/>
      <c r="F927" s="19"/>
    </row>
    <row r="928">
      <c r="D928" s="19"/>
      <c r="E928" s="19"/>
      <c r="F928" s="19"/>
    </row>
    <row r="929">
      <c r="D929" s="19"/>
      <c r="E929" s="19"/>
      <c r="F929" s="19"/>
    </row>
    <row r="930">
      <c r="D930" s="19"/>
      <c r="E930" s="19"/>
      <c r="F930" s="19"/>
    </row>
    <row r="931">
      <c r="D931" s="19"/>
      <c r="E931" s="19"/>
      <c r="F931" s="19"/>
    </row>
    <row r="932">
      <c r="D932" s="19"/>
      <c r="E932" s="19"/>
      <c r="F932" s="19"/>
    </row>
    <row r="933">
      <c r="D933" s="19"/>
      <c r="E933" s="19"/>
      <c r="F933" s="19"/>
    </row>
    <row r="934">
      <c r="D934" s="19"/>
      <c r="E934" s="19"/>
      <c r="F934" s="19"/>
    </row>
    <row r="935">
      <c r="D935" s="19"/>
      <c r="E935" s="19"/>
      <c r="F935" s="19"/>
    </row>
    <row r="936">
      <c r="D936" s="19"/>
      <c r="E936" s="19"/>
      <c r="F936" s="19"/>
    </row>
    <row r="937">
      <c r="D937" s="19"/>
      <c r="E937" s="19"/>
      <c r="F937" s="19"/>
    </row>
    <row r="938">
      <c r="D938" s="19"/>
      <c r="E938" s="19"/>
      <c r="F938" s="19"/>
    </row>
    <row r="939">
      <c r="D939" s="19"/>
      <c r="E939" s="19"/>
      <c r="F939" s="19"/>
    </row>
    <row r="940">
      <c r="D940" s="19"/>
      <c r="E940" s="19"/>
      <c r="F940" s="19"/>
    </row>
    <row r="941">
      <c r="D941" s="19"/>
      <c r="E941" s="19"/>
      <c r="F941" s="19"/>
    </row>
    <row r="942">
      <c r="D942" s="19"/>
      <c r="E942" s="19"/>
      <c r="F942" s="19"/>
    </row>
    <row r="943">
      <c r="D943" s="19"/>
      <c r="E943" s="19"/>
      <c r="F943" s="19"/>
    </row>
    <row r="944">
      <c r="D944" s="19"/>
      <c r="E944" s="19"/>
      <c r="F944" s="19"/>
    </row>
    <row r="945">
      <c r="D945" s="19"/>
      <c r="E945" s="19"/>
      <c r="F945" s="19"/>
    </row>
    <row r="946">
      <c r="D946" s="19"/>
      <c r="E946" s="19"/>
      <c r="F946" s="19"/>
    </row>
    <row r="947">
      <c r="D947" s="19"/>
      <c r="E947" s="19"/>
      <c r="F947" s="19"/>
    </row>
    <row r="948">
      <c r="D948" s="19"/>
      <c r="E948" s="19"/>
      <c r="F948" s="19"/>
    </row>
    <row r="949">
      <c r="D949" s="19"/>
      <c r="E949" s="19"/>
      <c r="F949" s="19"/>
    </row>
    <row r="950">
      <c r="D950" s="19"/>
      <c r="E950" s="19"/>
      <c r="F950" s="19"/>
    </row>
    <row r="951">
      <c r="D951" s="19"/>
      <c r="E951" s="19"/>
      <c r="F951" s="19"/>
    </row>
    <row r="952">
      <c r="D952" s="19"/>
      <c r="E952" s="19"/>
      <c r="F952" s="19"/>
    </row>
    <row r="953">
      <c r="D953" s="19"/>
      <c r="E953" s="19"/>
      <c r="F953" s="19"/>
    </row>
    <row r="954">
      <c r="D954" s="19"/>
      <c r="E954" s="19"/>
      <c r="F954" s="19"/>
    </row>
    <row r="955">
      <c r="D955" s="19"/>
      <c r="E955" s="19"/>
      <c r="F955" s="19"/>
    </row>
    <row r="956">
      <c r="D956" s="19"/>
      <c r="E956" s="19"/>
      <c r="F956" s="19"/>
    </row>
    <row r="957">
      <c r="D957" s="19"/>
      <c r="E957" s="19"/>
      <c r="F957" s="19"/>
    </row>
    <row r="958">
      <c r="D958" s="19"/>
      <c r="E958" s="19"/>
      <c r="F958" s="19"/>
    </row>
    <row r="959">
      <c r="D959" s="19"/>
      <c r="E959" s="19"/>
      <c r="F959" s="19"/>
    </row>
    <row r="960">
      <c r="D960" s="19"/>
      <c r="E960" s="19"/>
      <c r="F960" s="19"/>
    </row>
    <row r="961">
      <c r="D961" s="19"/>
      <c r="E961" s="19"/>
      <c r="F961" s="19"/>
    </row>
    <row r="962">
      <c r="D962" s="19"/>
      <c r="E962" s="19"/>
      <c r="F962" s="19"/>
    </row>
    <row r="963">
      <c r="D963" s="19"/>
      <c r="E963" s="19"/>
      <c r="F963" s="19"/>
    </row>
    <row r="964">
      <c r="D964" s="19"/>
      <c r="E964" s="19"/>
      <c r="F964" s="19"/>
    </row>
    <row r="965">
      <c r="D965" s="19"/>
      <c r="E965" s="19"/>
      <c r="F965" s="19"/>
    </row>
    <row r="966">
      <c r="D966" s="19"/>
      <c r="E966" s="19"/>
      <c r="F966" s="19"/>
    </row>
    <row r="967">
      <c r="D967" s="19"/>
      <c r="E967" s="19"/>
      <c r="F967" s="19"/>
    </row>
    <row r="968">
      <c r="D968" s="19"/>
      <c r="E968" s="19"/>
      <c r="F968" s="19"/>
    </row>
    <row r="969">
      <c r="D969" s="19"/>
      <c r="E969" s="19"/>
      <c r="F969" s="19"/>
    </row>
    <row r="970">
      <c r="D970" s="19"/>
      <c r="E970" s="19"/>
      <c r="F970" s="19"/>
    </row>
    <row r="971">
      <c r="D971" s="19"/>
      <c r="E971" s="19"/>
      <c r="F971" s="19"/>
    </row>
    <row r="972">
      <c r="D972" s="19"/>
      <c r="E972" s="19"/>
      <c r="F972" s="19"/>
    </row>
    <row r="973">
      <c r="D973" s="19"/>
      <c r="E973" s="19"/>
      <c r="F973" s="19"/>
    </row>
    <row r="974">
      <c r="D974" s="19"/>
      <c r="E974" s="19"/>
      <c r="F974" s="19"/>
    </row>
    <row r="975">
      <c r="D975" s="19"/>
      <c r="E975" s="19"/>
      <c r="F975" s="19"/>
    </row>
    <row r="976">
      <c r="D976" s="19"/>
      <c r="E976" s="19"/>
      <c r="F976" s="19"/>
    </row>
    <row r="977">
      <c r="D977" s="19"/>
      <c r="E977" s="19"/>
      <c r="F977" s="19"/>
    </row>
    <row r="978">
      <c r="D978" s="19"/>
      <c r="E978" s="19"/>
      <c r="F978" s="19"/>
    </row>
    <row r="979">
      <c r="D979" s="19"/>
      <c r="E979" s="19"/>
      <c r="F979" s="19"/>
    </row>
    <row r="980">
      <c r="D980" s="19"/>
      <c r="E980" s="19"/>
      <c r="F980" s="19"/>
    </row>
    <row r="981">
      <c r="D981" s="19"/>
      <c r="E981" s="19"/>
      <c r="F981" s="19"/>
    </row>
    <row r="982">
      <c r="D982" s="19"/>
      <c r="E982" s="19"/>
      <c r="F982" s="19"/>
    </row>
    <row r="983">
      <c r="D983" s="19"/>
      <c r="E983" s="19"/>
      <c r="F983" s="19"/>
    </row>
    <row r="984">
      <c r="D984" s="19"/>
      <c r="E984" s="19"/>
      <c r="F984" s="19"/>
    </row>
    <row r="985">
      <c r="D985" s="19"/>
      <c r="E985" s="19"/>
      <c r="F985" s="19"/>
    </row>
    <row r="986">
      <c r="D986" s="19"/>
      <c r="E986" s="19"/>
      <c r="F986" s="19"/>
    </row>
    <row r="987">
      <c r="D987" s="19"/>
      <c r="E987" s="19"/>
      <c r="F987" s="19"/>
    </row>
    <row r="988">
      <c r="D988" s="19"/>
      <c r="E988" s="19"/>
      <c r="F988" s="19"/>
    </row>
    <row r="989">
      <c r="D989" s="19"/>
      <c r="E989" s="19"/>
      <c r="F989" s="19"/>
    </row>
    <row r="990">
      <c r="D990" s="19"/>
      <c r="E990" s="19"/>
      <c r="F990" s="19"/>
    </row>
    <row r="991">
      <c r="D991" s="19"/>
      <c r="E991" s="19"/>
      <c r="F991" s="19"/>
    </row>
    <row r="992">
      <c r="D992" s="19"/>
      <c r="E992" s="19"/>
      <c r="F992" s="19"/>
    </row>
    <row r="993">
      <c r="D993" s="19"/>
      <c r="E993" s="19"/>
      <c r="F993" s="19"/>
    </row>
    <row r="994">
      <c r="D994" s="19"/>
      <c r="E994" s="19"/>
      <c r="F994" s="19"/>
    </row>
    <row r="995">
      <c r="D995" s="19"/>
      <c r="E995" s="19"/>
      <c r="F995" s="19"/>
    </row>
    <row r="996">
      <c r="D996" s="19"/>
      <c r="E996" s="19"/>
      <c r="F996" s="19"/>
    </row>
    <row r="997">
      <c r="D997" s="19"/>
      <c r="E997" s="19"/>
      <c r="F997" s="19"/>
    </row>
    <row r="998">
      <c r="D998" s="19"/>
      <c r="E998" s="19"/>
      <c r="F998" s="19"/>
    </row>
    <row r="999">
      <c r="D999" s="19"/>
      <c r="E999" s="19"/>
      <c r="F999" s="19"/>
    </row>
    <row r="1000">
      <c r="D1000" s="19"/>
      <c r="E1000" s="19"/>
      <c r="F1000" s="19"/>
    </row>
    <row r="1001">
      <c r="D1001" s="19"/>
      <c r="E1001" s="19"/>
      <c r="F1001" s="19"/>
    </row>
  </sheetData>
  <hyperlinks>
    <hyperlink r:id="rId1" ref="L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156</v>
      </c>
      <c r="B1" s="1" t="s">
        <v>157</v>
      </c>
      <c r="C1" s="1" t="s">
        <v>158</v>
      </c>
      <c r="D1" s="1" t="s">
        <v>159</v>
      </c>
    </row>
    <row r="2">
      <c r="A2" s="1" t="s">
        <v>160</v>
      </c>
      <c r="B2" s="1" t="s">
        <v>161</v>
      </c>
      <c r="D2" s="1" t="s">
        <v>162</v>
      </c>
    </row>
    <row r="3">
      <c r="A3" s="20">
        <v>46098.0</v>
      </c>
      <c r="B3" s="1" t="s">
        <v>163</v>
      </c>
      <c r="D3" s="1" t="s">
        <v>164</v>
      </c>
    </row>
    <row r="4">
      <c r="A4" s="20">
        <v>46114.0</v>
      </c>
      <c r="B4" s="1" t="s">
        <v>165</v>
      </c>
      <c r="C4" s="1" t="s">
        <v>166</v>
      </c>
      <c r="D4" s="1" t="s">
        <v>167</v>
      </c>
    </row>
    <row r="5">
      <c r="A5" s="20">
        <v>46116.0</v>
      </c>
      <c r="B5" s="1" t="s">
        <v>168</v>
      </c>
      <c r="C5" s="1" t="s">
        <v>169</v>
      </c>
      <c r="D5" s="1" t="s">
        <v>170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1.25"/>
    <col customWidth="1" min="3" max="3" width="17.25"/>
    <col customWidth="1" min="4" max="4" width="28.38"/>
    <col customWidth="1" min="6" max="6" width="23.5"/>
  </cols>
  <sheetData>
    <row r="1">
      <c r="A1" s="21" t="s">
        <v>171</v>
      </c>
      <c r="B1" s="21" t="s">
        <v>144</v>
      </c>
      <c r="C1" s="21" t="s">
        <v>157</v>
      </c>
      <c r="D1" s="21" t="s">
        <v>172</v>
      </c>
      <c r="E1" s="21" t="s">
        <v>173</v>
      </c>
      <c r="F1" s="21" t="s">
        <v>80</v>
      </c>
      <c r="G1" s="21" t="s">
        <v>90</v>
      </c>
      <c r="H1" s="21" t="s">
        <v>174</v>
      </c>
      <c r="I1" s="21" t="s">
        <v>100</v>
      </c>
      <c r="J1" s="21" t="s">
        <v>175</v>
      </c>
    </row>
    <row r="2">
      <c r="A2" s="1" t="s">
        <v>176</v>
      </c>
      <c r="B2" s="16" t="s">
        <v>177</v>
      </c>
      <c r="C2" s="1" t="s">
        <v>178</v>
      </c>
      <c r="D2" s="16" t="s">
        <v>179</v>
      </c>
      <c r="E2" s="1" t="s">
        <v>178</v>
      </c>
      <c r="F2" s="1" t="s">
        <v>180</v>
      </c>
      <c r="G2" s="1" t="s">
        <v>181</v>
      </c>
      <c r="H2" s="1" t="s">
        <v>182</v>
      </c>
      <c r="I2" s="16" t="s">
        <v>183</v>
      </c>
    </row>
    <row r="3">
      <c r="A3" s="1" t="s">
        <v>184</v>
      </c>
      <c r="B3" s="1" t="s">
        <v>185</v>
      </c>
      <c r="C3" s="1" t="s">
        <v>178</v>
      </c>
      <c r="D3" s="1" t="s">
        <v>178</v>
      </c>
      <c r="E3" s="1" t="s">
        <v>178</v>
      </c>
      <c r="F3" s="1" t="s">
        <v>178</v>
      </c>
      <c r="G3" s="1" t="s">
        <v>178</v>
      </c>
      <c r="H3" s="1" t="s">
        <v>178</v>
      </c>
      <c r="I3" s="1" t="s">
        <v>178</v>
      </c>
      <c r="J3" s="16" t="s">
        <v>186</v>
      </c>
    </row>
    <row r="4">
      <c r="A4" s="1" t="s">
        <v>187</v>
      </c>
      <c r="B4" s="16" t="s">
        <v>177</v>
      </c>
      <c r="C4" s="1" t="s">
        <v>188</v>
      </c>
      <c r="D4" s="1" t="s">
        <v>178</v>
      </c>
      <c r="E4" s="1" t="s">
        <v>178</v>
      </c>
      <c r="F4" s="1" t="s">
        <v>178</v>
      </c>
      <c r="G4" s="1" t="s">
        <v>178</v>
      </c>
      <c r="H4" s="1" t="s">
        <v>178</v>
      </c>
      <c r="I4" s="1" t="s">
        <v>189</v>
      </c>
    </row>
    <row r="5">
      <c r="A5" s="1" t="s">
        <v>190</v>
      </c>
      <c r="B5" s="16" t="s">
        <v>191</v>
      </c>
      <c r="C5" s="1" t="s">
        <v>192</v>
      </c>
      <c r="D5" s="1" t="s">
        <v>178</v>
      </c>
      <c r="E5" s="1" t="s">
        <v>178</v>
      </c>
      <c r="F5" s="1" t="s">
        <v>193</v>
      </c>
      <c r="G5" s="1" t="s">
        <v>194</v>
      </c>
      <c r="H5" s="1" t="s">
        <v>178</v>
      </c>
      <c r="I5" s="1" t="s">
        <v>178</v>
      </c>
    </row>
    <row r="6">
      <c r="A6" s="1" t="s">
        <v>195</v>
      </c>
      <c r="B6" s="1" t="s">
        <v>178</v>
      </c>
      <c r="C6" s="1" t="s">
        <v>178</v>
      </c>
      <c r="D6" s="1" t="s">
        <v>196</v>
      </c>
      <c r="E6" s="1" t="s">
        <v>178</v>
      </c>
      <c r="F6" s="1" t="s">
        <v>178</v>
      </c>
      <c r="G6" s="1" t="s">
        <v>178</v>
      </c>
      <c r="H6" s="1" t="s">
        <v>178</v>
      </c>
      <c r="I6" s="1" t="s">
        <v>196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3" max="3" width="27.38"/>
    <col customWidth="1" min="19" max="19" width="18.13"/>
    <col customWidth="1" min="20" max="20" width="18.38"/>
    <col customWidth="1" min="21" max="21" width="17.13"/>
    <col customWidth="1" min="23" max="23" width="20.0"/>
    <col customWidth="1" min="24" max="24" width="31.63"/>
  </cols>
  <sheetData>
    <row r="1">
      <c r="A1" s="21" t="s">
        <v>197</v>
      </c>
      <c r="B1" s="21" t="s">
        <v>198</v>
      </c>
      <c r="C1" s="21" t="s">
        <v>199</v>
      </c>
      <c r="D1" s="21" t="s">
        <v>200</v>
      </c>
      <c r="E1" s="21" t="s">
        <v>201</v>
      </c>
      <c r="F1" s="21" t="s">
        <v>202</v>
      </c>
      <c r="G1" s="21" t="s">
        <v>203</v>
      </c>
      <c r="H1" s="21" t="s">
        <v>204</v>
      </c>
      <c r="I1" s="21" t="s">
        <v>205</v>
      </c>
      <c r="J1" s="21" t="s">
        <v>206</v>
      </c>
      <c r="K1" s="21" t="s">
        <v>207</v>
      </c>
      <c r="L1" s="21" t="s">
        <v>208</v>
      </c>
      <c r="M1" s="21" t="s">
        <v>209</v>
      </c>
      <c r="N1" s="21" t="s">
        <v>210</v>
      </c>
      <c r="O1" s="21" t="s">
        <v>211</v>
      </c>
      <c r="P1" s="21" t="s">
        <v>212</v>
      </c>
      <c r="Q1" s="21" t="s">
        <v>213</v>
      </c>
      <c r="R1" s="21" t="s">
        <v>214</v>
      </c>
      <c r="S1" s="21" t="s">
        <v>215</v>
      </c>
      <c r="T1" s="21" t="s">
        <v>216</v>
      </c>
      <c r="U1" s="21" t="s">
        <v>217</v>
      </c>
      <c r="V1" s="21" t="s">
        <v>218</v>
      </c>
      <c r="W1" s="21" t="s">
        <v>219</v>
      </c>
      <c r="X1" s="21" t="s">
        <v>220</v>
      </c>
    </row>
    <row r="2">
      <c r="A2" s="1" t="s">
        <v>172</v>
      </c>
      <c r="B2" s="17" t="s">
        <v>221</v>
      </c>
      <c r="C2" s="1" t="s">
        <v>222</v>
      </c>
      <c r="D2" s="1" t="s">
        <v>223</v>
      </c>
      <c r="E2" s="1" t="s">
        <v>224</v>
      </c>
      <c r="F2" s="1" t="s">
        <v>225</v>
      </c>
      <c r="G2" s="1" t="s">
        <v>226</v>
      </c>
      <c r="H2" s="1" t="s">
        <v>227</v>
      </c>
      <c r="I2" s="1" t="s">
        <v>228</v>
      </c>
      <c r="J2" s="1" t="s">
        <v>229</v>
      </c>
      <c r="K2" s="1" t="s">
        <v>230</v>
      </c>
      <c r="L2" s="1" t="s">
        <v>231</v>
      </c>
      <c r="M2" s="1" t="s">
        <v>232</v>
      </c>
      <c r="N2" s="22" t="s">
        <v>233</v>
      </c>
      <c r="O2" s="1" t="s">
        <v>229</v>
      </c>
      <c r="P2" s="1" t="s">
        <v>229</v>
      </c>
      <c r="Q2" s="1" t="s">
        <v>234</v>
      </c>
      <c r="R2" s="1" t="s">
        <v>234</v>
      </c>
      <c r="S2" s="1" t="s">
        <v>235</v>
      </c>
      <c r="T2" s="1" t="s">
        <v>236</v>
      </c>
      <c r="U2" s="1" t="s">
        <v>228</v>
      </c>
      <c r="V2" s="1" t="s">
        <v>237</v>
      </c>
      <c r="W2" s="1" t="s">
        <v>238</v>
      </c>
      <c r="X2" s="1" t="s">
        <v>239</v>
      </c>
    </row>
    <row r="3">
      <c r="A3" s="1" t="s">
        <v>240</v>
      </c>
      <c r="B3" s="17" t="s">
        <v>241</v>
      </c>
      <c r="C3" s="1" t="s">
        <v>242</v>
      </c>
      <c r="D3" s="1" t="s">
        <v>243</v>
      </c>
      <c r="E3" s="1" t="s">
        <v>244</v>
      </c>
      <c r="F3" s="1" t="s">
        <v>245</v>
      </c>
      <c r="G3" s="1" t="s">
        <v>246</v>
      </c>
      <c r="H3" s="1" t="s">
        <v>247</v>
      </c>
      <c r="I3" s="1" t="s">
        <v>248</v>
      </c>
      <c r="J3" s="1" t="s">
        <v>229</v>
      </c>
      <c r="K3" s="1" t="s">
        <v>249</v>
      </c>
      <c r="L3" s="1" t="s">
        <v>250</v>
      </c>
      <c r="M3" s="1" t="s">
        <v>251</v>
      </c>
      <c r="N3" s="22" t="s">
        <v>252</v>
      </c>
      <c r="O3" s="1" t="s">
        <v>229</v>
      </c>
      <c r="P3" s="1" t="s">
        <v>229</v>
      </c>
      <c r="Q3" s="1" t="s">
        <v>234</v>
      </c>
      <c r="R3" s="1" t="s">
        <v>234</v>
      </c>
      <c r="S3" s="1" t="s">
        <v>253</v>
      </c>
      <c r="T3" s="1" t="s">
        <v>254</v>
      </c>
      <c r="U3" s="1" t="s">
        <v>255</v>
      </c>
      <c r="V3" s="1" t="s">
        <v>237</v>
      </c>
      <c r="W3" s="1" t="s">
        <v>256</v>
      </c>
      <c r="X3" s="1" t="s">
        <v>257</v>
      </c>
    </row>
    <row r="4">
      <c r="A4" s="1" t="s">
        <v>258</v>
      </c>
      <c r="B4" s="17" t="s">
        <v>259</v>
      </c>
      <c r="C4" s="1" t="s">
        <v>260</v>
      </c>
      <c r="D4" s="1" t="s">
        <v>261</v>
      </c>
      <c r="E4" s="1" t="s">
        <v>262</v>
      </c>
      <c r="F4" s="1" t="s">
        <v>263</v>
      </c>
      <c r="G4" s="1" t="s">
        <v>264</v>
      </c>
      <c r="H4" s="1" t="s">
        <v>247</v>
      </c>
      <c r="I4" s="1" t="s">
        <v>248</v>
      </c>
      <c r="J4" s="1" t="s">
        <v>229</v>
      </c>
      <c r="K4" s="1" t="s">
        <v>249</v>
      </c>
      <c r="L4" s="1" t="s">
        <v>250</v>
      </c>
      <c r="M4" s="1" t="s">
        <v>251</v>
      </c>
      <c r="N4" s="22" t="s">
        <v>252</v>
      </c>
      <c r="O4" s="1" t="s">
        <v>229</v>
      </c>
      <c r="P4" s="1" t="s">
        <v>229</v>
      </c>
      <c r="Q4" s="1" t="s">
        <v>234</v>
      </c>
      <c r="R4" s="1" t="s">
        <v>234</v>
      </c>
      <c r="S4" s="1" t="s">
        <v>265</v>
      </c>
      <c r="T4" s="1" t="s">
        <v>254</v>
      </c>
      <c r="U4" s="1" t="s">
        <v>255</v>
      </c>
      <c r="V4" s="1" t="s">
        <v>237</v>
      </c>
      <c r="W4" s="1" t="s">
        <v>256</v>
      </c>
      <c r="X4" s="1" t="s">
        <v>257</v>
      </c>
    </row>
    <row r="5">
      <c r="A5" s="1" t="s">
        <v>266</v>
      </c>
      <c r="B5" s="17" t="s">
        <v>267</v>
      </c>
      <c r="C5" s="1" t="s">
        <v>268</v>
      </c>
      <c r="D5" s="1" t="s">
        <v>269</v>
      </c>
      <c r="E5" s="1" t="s">
        <v>270</v>
      </c>
      <c r="F5" s="1" t="s">
        <v>271</v>
      </c>
      <c r="G5" s="1" t="s">
        <v>272</v>
      </c>
      <c r="H5" s="1" t="s">
        <v>247</v>
      </c>
      <c r="I5" s="1" t="s">
        <v>248</v>
      </c>
      <c r="J5" s="1" t="s">
        <v>229</v>
      </c>
      <c r="K5" s="1" t="s">
        <v>273</v>
      </c>
      <c r="L5" s="1" t="s">
        <v>274</v>
      </c>
      <c r="M5" s="1" t="s">
        <v>275</v>
      </c>
      <c r="N5" s="22" t="s">
        <v>233</v>
      </c>
      <c r="O5" s="1" t="s">
        <v>276</v>
      </c>
      <c r="P5" s="1" t="s">
        <v>229</v>
      </c>
      <c r="Q5" s="1" t="s">
        <v>234</v>
      </c>
      <c r="R5" s="1" t="s">
        <v>234</v>
      </c>
      <c r="S5" s="1" t="s">
        <v>277</v>
      </c>
      <c r="T5" s="1" t="s">
        <v>254</v>
      </c>
      <c r="U5" s="1" t="s">
        <v>255</v>
      </c>
      <c r="V5" s="1" t="s">
        <v>237</v>
      </c>
      <c r="W5" s="1" t="s">
        <v>256</v>
      </c>
      <c r="X5" s="1" t="s">
        <v>278</v>
      </c>
    </row>
    <row r="6">
      <c r="A6" s="1" t="s">
        <v>80</v>
      </c>
      <c r="B6" s="17" t="s">
        <v>279</v>
      </c>
      <c r="C6" s="1" t="s">
        <v>280</v>
      </c>
      <c r="D6" s="1" t="s">
        <v>281</v>
      </c>
      <c r="E6" s="1" t="s">
        <v>282</v>
      </c>
      <c r="F6" s="1" t="s">
        <v>283</v>
      </c>
      <c r="G6" s="1" t="s">
        <v>284</v>
      </c>
      <c r="H6" s="1" t="s">
        <v>227</v>
      </c>
      <c r="I6" s="1" t="s">
        <v>228</v>
      </c>
      <c r="J6" s="1" t="s">
        <v>229</v>
      </c>
      <c r="K6" s="1" t="s">
        <v>285</v>
      </c>
      <c r="L6" s="1" t="s">
        <v>286</v>
      </c>
      <c r="M6" s="1" t="s">
        <v>287</v>
      </c>
      <c r="N6" s="22" t="s">
        <v>233</v>
      </c>
      <c r="O6" s="1" t="s">
        <v>229</v>
      </c>
      <c r="P6" s="1" t="s">
        <v>229</v>
      </c>
      <c r="Q6" s="1" t="s">
        <v>234</v>
      </c>
      <c r="R6" s="1" t="s">
        <v>234</v>
      </c>
      <c r="S6" s="1" t="s">
        <v>288</v>
      </c>
      <c r="T6" s="1" t="s">
        <v>254</v>
      </c>
      <c r="U6" s="1" t="s">
        <v>255</v>
      </c>
      <c r="V6" s="1" t="s">
        <v>237</v>
      </c>
      <c r="W6" s="1" t="s">
        <v>238</v>
      </c>
      <c r="X6" s="1" t="s">
        <v>289</v>
      </c>
    </row>
    <row r="7">
      <c r="A7" s="1" t="s">
        <v>290</v>
      </c>
      <c r="B7" s="17" t="s">
        <v>291</v>
      </c>
      <c r="C7" s="1" t="s">
        <v>292</v>
      </c>
      <c r="D7" s="1" t="s">
        <v>281</v>
      </c>
      <c r="E7" s="1" t="s">
        <v>282</v>
      </c>
      <c r="F7" s="1" t="s">
        <v>283</v>
      </c>
      <c r="G7" s="1" t="s">
        <v>284</v>
      </c>
      <c r="H7" s="1" t="s">
        <v>227</v>
      </c>
      <c r="I7" s="1" t="s">
        <v>228</v>
      </c>
      <c r="J7" s="1" t="s">
        <v>229</v>
      </c>
      <c r="K7" s="1" t="s">
        <v>293</v>
      </c>
      <c r="L7" s="1" t="s">
        <v>294</v>
      </c>
      <c r="M7" s="1" t="s">
        <v>295</v>
      </c>
      <c r="N7" s="22" t="s">
        <v>233</v>
      </c>
      <c r="O7" s="1" t="s">
        <v>296</v>
      </c>
      <c r="P7" s="1" t="s">
        <v>296</v>
      </c>
      <c r="R7" s="1"/>
      <c r="S7" s="1" t="s">
        <v>297</v>
      </c>
      <c r="T7" s="1" t="s">
        <v>254</v>
      </c>
      <c r="U7" s="1" t="s">
        <v>255</v>
      </c>
      <c r="V7" s="1" t="s">
        <v>237</v>
      </c>
      <c r="W7" s="1" t="s">
        <v>238</v>
      </c>
      <c r="X7" s="1" t="s">
        <v>298</v>
      </c>
    </row>
    <row r="8">
      <c r="A8" s="1" t="s">
        <v>90</v>
      </c>
      <c r="B8" s="17" t="s">
        <v>299</v>
      </c>
      <c r="C8" s="1" t="s">
        <v>300</v>
      </c>
      <c r="D8" s="1"/>
      <c r="E8" s="1"/>
      <c r="F8" s="1"/>
      <c r="G8" s="1"/>
      <c r="H8" s="1"/>
      <c r="I8" s="1"/>
      <c r="J8" s="1"/>
      <c r="K8" s="1"/>
      <c r="L8" s="1"/>
      <c r="M8" s="1"/>
      <c r="N8" s="1"/>
      <c r="O8" s="1"/>
      <c r="P8" s="1"/>
      <c r="Q8" s="1"/>
      <c r="R8" s="1"/>
      <c r="S8" s="1"/>
      <c r="T8" s="1"/>
      <c r="U8" s="1"/>
      <c r="V8" s="1"/>
      <c r="W8" s="1"/>
      <c r="X8" s="1"/>
    </row>
    <row r="9">
      <c r="A9" s="1" t="s">
        <v>301</v>
      </c>
      <c r="B9" s="17" t="s">
        <v>302</v>
      </c>
      <c r="C9" s="1" t="s">
        <v>303</v>
      </c>
      <c r="D9" s="1" t="s">
        <v>304</v>
      </c>
      <c r="E9" s="1" t="s">
        <v>305</v>
      </c>
      <c r="F9" s="1" t="s">
        <v>306</v>
      </c>
      <c r="G9" s="1" t="s">
        <v>307</v>
      </c>
      <c r="H9" s="1" t="s">
        <v>308</v>
      </c>
      <c r="I9" s="1" t="s">
        <v>229</v>
      </c>
      <c r="J9" s="1" t="s">
        <v>229</v>
      </c>
      <c r="K9" s="1" t="s">
        <v>309</v>
      </c>
      <c r="L9" s="1" t="s">
        <v>310</v>
      </c>
      <c r="M9" s="1" t="s">
        <v>311</v>
      </c>
      <c r="N9" s="22" t="s">
        <v>312</v>
      </c>
      <c r="O9" s="1" t="s">
        <v>313</v>
      </c>
      <c r="P9" s="1" t="s">
        <v>313</v>
      </c>
      <c r="Q9" s="1" t="s">
        <v>314</v>
      </c>
      <c r="R9" s="1" t="s">
        <v>315</v>
      </c>
      <c r="S9" s="1" t="s">
        <v>316</v>
      </c>
      <c r="T9" s="1" t="s">
        <v>254</v>
      </c>
      <c r="U9" s="1" t="s">
        <v>255</v>
      </c>
      <c r="V9" s="1" t="s">
        <v>237</v>
      </c>
      <c r="W9" s="1" t="s">
        <v>238</v>
      </c>
      <c r="X9" s="1" t="s">
        <v>317</v>
      </c>
    </row>
    <row r="10">
      <c r="A10" s="1" t="s">
        <v>318</v>
      </c>
      <c r="B10" s="17" t="s">
        <v>319</v>
      </c>
      <c r="C10" s="1" t="s">
        <v>320</v>
      </c>
      <c r="D10" s="1" t="s">
        <v>321</v>
      </c>
      <c r="E10" s="1" t="s">
        <v>322</v>
      </c>
      <c r="F10" s="1" t="s">
        <v>323</v>
      </c>
      <c r="G10" s="1" t="s">
        <v>324</v>
      </c>
      <c r="H10" s="1" t="s">
        <v>325</v>
      </c>
      <c r="I10" s="1" t="s">
        <v>229</v>
      </c>
      <c r="J10" s="1" t="s">
        <v>229</v>
      </c>
      <c r="K10" s="1" t="s">
        <v>326</v>
      </c>
      <c r="L10" s="1" t="s">
        <v>327</v>
      </c>
      <c r="M10" s="1" t="s">
        <v>328</v>
      </c>
      <c r="N10" s="22" t="s">
        <v>312</v>
      </c>
      <c r="O10" s="1" t="s">
        <v>229</v>
      </c>
      <c r="P10" s="1" t="s">
        <v>229</v>
      </c>
      <c r="Q10" s="1" t="s">
        <v>234</v>
      </c>
      <c r="R10" s="1" t="s">
        <v>234</v>
      </c>
      <c r="S10" s="1" t="s">
        <v>329</v>
      </c>
      <c r="T10" s="1" t="s">
        <v>236</v>
      </c>
      <c r="U10" s="1" t="s">
        <v>228</v>
      </c>
      <c r="V10" s="1" t="s">
        <v>237</v>
      </c>
      <c r="W10" s="1" t="s">
        <v>238</v>
      </c>
      <c r="X10" s="1" t="s">
        <v>330</v>
      </c>
    </row>
    <row r="11">
      <c r="A11" s="1" t="s">
        <v>331</v>
      </c>
      <c r="B11" s="23">
        <v>46114.0</v>
      </c>
      <c r="C11" s="1" t="s">
        <v>332</v>
      </c>
      <c r="D11" s="1" t="s">
        <v>333</v>
      </c>
      <c r="E11" s="1" t="s">
        <v>334</v>
      </c>
      <c r="F11" s="1" t="s">
        <v>335</v>
      </c>
      <c r="G11" s="1" t="s">
        <v>336</v>
      </c>
      <c r="H11" s="1" t="s">
        <v>227</v>
      </c>
      <c r="I11" s="1" t="s">
        <v>228</v>
      </c>
      <c r="J11" s="1" t="s">
        <v>337</v>
      </c>
      <c r="K11" s="1" t="s">
        <v>338</v>
      </c>
      <c r="L11" s="1" t="s">
        <v>339</v>
      </c>
      <c r="M11" s="1" t="s">
        <v>340</v>
      </c>
      <c r="N11" s="22" t="s">
        <v>341</v>
      </c>
      <c r="O11" s="1" t="s">
        <v>229</v>
      </c>
      <c r="P11" s="1" t="s">
        <v>229</v>
      </c>
      <c r="Q11" s="1" t="s">
        <v>234</v>
      </c>
      <c r="R11" s="1" t="s">
        <v>234</v>
      </c>
      <c r="S11" s="1" t="s">
        <v>288</v>
      </c>
      <c r="T11" s="1" t="s">
        <v>236</v>
      </c>
      <c r="U11" s="1" t="s">
        <v>228</v>
      </c>
      <c r="V11" s="1" t="s">
        <v>237</v>
      </c>
      <c r="W11" s="1" t="s">
        <v>238</v>
      </c>
      <c r="X11" s="1" t="s">
        <v>342</v>
      </c>
    </row>
    <row r="12">
      <c r="A12" s="1" t="s">
        <v>343</v>
      </c>
      <c r="B12" s="23">
        <v>46115.0</v>
      </c>
      <c r="C12" s="1"/>
      <c r="D12" s="1" t="s">
        <v>333</v>
      </c>
      <c r="E12" s="1" t="s">
        <v>334</v>
      </c>
      <c r="F12" s="1" t="s">
        <v>344</v>
      </c>
      <c r="G12" s="1" t="s">
        <v>345</v>
      </c>
      <c r="H12" s="1" t="s">
        <v>227</v>
      </c>
      <c r="I12" s="1" t="s">
        <v>228</v>
      </c>
      <c r="J12" s="1" t="s">
        <v>337</v>
      </c>
      <c r="K12" s="1" t="s">
        <v>338</v>
      </c>
      <c r="L12" s="1" t="s">
        <v>339</v>
      </c>
      <c r="M12" s="1" t="s">
        <v>340</v>
      </c>
      <c r="N12" s="22" t="s">
        <v>341</v>
      </c>
      <c r="O12" s="1" t="s">
        <v>229</v>
      </c>
      <c r="P12" s="1" t="s">
        <v>229</v>
      </c>
      <c r="Q12" s="1" t="s">
        <v>234</v>
      </c>
      <c r="R12" s="1" t="s">
        <v>234</v>
      </c>
      <c r="S12" s="1" t="s">
        <v>329</v>
      </c>
      <c r="T12" s="1" t="s">
        <v>236</v>
      </c>
      <c r="U12" s="1" t="s">
        <v>228</v>
      </c>
      <c r="V12" s="1" t="s">
        <v>237</v>
      </c>
      <c r="W12" s="1" t="s">
        <v>238</v>
      </c>
      <c r="X12" s="1" t="s">
        <v>346</v>
      </c>
    </row>
    <row r="13">
      <c r="A13" s="1" t="s">
        <v>347</v>
      </c>
      <c r="B13" s="23">
        <v>46116.0</v>
      </c>
      <c r="C13" s="1" t="s">
        <v>348</v>
      </c>
      <c r="D13" s="1" t="s">
        <v>349</v>
      </c>
      <c r="E13" s="1" t="s">
        <v>334</v>
      </c>
      <c r="F13" s="1" t="s">
        <v>344</v>
      </c>
      <c r="G13" s="1" t="s">
        <v>336</v>
      </c>
      <c r="H13" s="1" t="s">
        <v>350</v>
      </c>
      <c r="I13" s="1" t="s">
        <v>228</v>
      </c>
      <c r="J13" s="1" t="s">
        <v>229</v>
      </c>
      <c r="K13" s="1" t="s">
        <v>351</v>
      </c>
      <c r="L13" s="1" t="s">
        <v>352</v>
      </c>
      <c r="M13" s="1" t="s">
        <v>353</v>
      </c>
      <c r="N13" s="22" t="s">
        <v>354</v>
      </c>
      <c r="O13" s="1" t="s">
        <v>229</v>
      </c>
      <c r="P13" s="1" t="s">
        <v>229</v>
      </c>
      <c r="Q13" s="1" t="s">
        <v>234</v>
      </c>
      <c r="R13" s="1" t="s">
        <v>234</v>
      </c>
      <c r="S13" s="1" t="s">
        <v>288</v>
      </c>
      <c r="T13" s="1" t="s">
        <v>236</v>
      </c>
      <c r="U13" s="1" t="s">
        <v>228</v>
      </c>
      <c r="V13" s="1" t="s">
        <v>237</v>
      </c>
      <c r="W13" s="1" t="s">
        <v>238</v>
      </c>
      <c r="X13" s="1" t="s">
        <v>355</v>
      </c>
    </row>
    <row r="15">
      <c r="B15" s="21"/>
      <c r="C15" s="21"/>
      <c r="D15" s="21"/>
      <c r="E15" s="21"/>
      <c r="F15" s="21"/>
      <c r="G15" s="21"/>
      <c r="H15" s="21"/>
      <c r="I15" s="21"/>
    </row>
    <row r="16">
      <c r="B16" s="1"/>
    </row>
    <row r="17">
      <c r="B17" s="1"/>
    </row>
    <row r="18">
      <c r="B18" s="1"/>
    </row>
    <row r="19">
      <c r="B19" s="1"/>
    </row>
    <row r="20">
      <c r="B20" s="1"/>
    </row>
    <row r="21">
      <c r="B21" s="1"/>
    </row>
    <row r="22">
      <c r="B22" s="1"/>
    </row>
    <row r="23">
      <c r="B23" s="1"/>
      <c r="E23" s="20"/>
    </row>
    <row r="24">
      <c r="B24" s="1"/>
      <c r="E24" s="20"/>
    </row>
    <row r="25">
      <c r="B25" s="1"/>
      <c r="E25" s="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356</v>
      </c>
      <c r="B1" s="21" t="s">
        <v>218</v>
      </c>
      <c r="C1" s="21" t="s">
        <v>357</v>
      </c>
      <c r="D1" s="21" t="s">
        <v>358</v>
      </c>
      <c r="E1" s="21" t="s">
        <v>359</v>
      </c>
      <c r="F1" s="21" t="s">
        <v>360</v>
      </c>
      <c r="G1" s="21" t="s">
        <v>361</v>
      </c>
      <c r="H1" s="21" t="s">
        <v>362</v>
      </c>
      <c r="I1" s="21" t="s">
        <v>363</v>
      </c>
      <c r="J1" s="21" t="s">
        <v>364</v>
      </c>
      <c r="K1" s="21" t="s">
        <v>365</v>
      </c>
      <c r="L1" s="21" t="s">
        <v>366</v>
      </c>
      <c r="M1" s="21" t="s">
        <v>367</v>
      </c>
    </row>
    <row r="2">
      <c r="A2" s="1" t="s">
        <v>368</v>
      </c>
      <c r="B2" s="1" t="s">
        <v>237</v>
      </c>
      <c r="C2" s="1" t="s">
        <v>369</v>
      </c>
      <c r="D2" s="1" t="s">
        <v>370</v>
      </c>
      <c r="E2" s="1" t="s">
        <v>371</v>
      </c>
      <c r="F2" s="1" t="s">
        <v>372</v>
      </c>
      <c r="G2" s="1" t="s">
        <v>373</v>
      </c>
      <c r="H2" s="1" t="s">
        <v>374</v>
      </c>
      <c r="I2" s="1" t="s">
        <v>375</v>
      </c>
      <c r="J2" s="1" t="s">
        <v>376</v>
      </c>
      <c r="K2" s="1" t="s">
        <v>377</v>
      </c>
      <c r="L2" s="1" t="s">
        <v>378</v>
      </c>
      <c r="M2" s="1" t="s">
        <v>379</v>
      </c>
    </row>
    <row r="3">
      <c r="A3" s="1" t="s">
        <v>380</v>
      </c>
      <c r="B3" s="1" t="s">
        <v>381</v>
      </c>
      <c r="C3" s="1" t="s">
        <v>382</v>
      </c>
      <c r="D3" s="1" t="s">
        <v>383</v>
      </c>
      <c r="E3" s="1" t="s">
        <v>384</v>
      </c>
      <c r="F3" s="1" t="s">
        <v>385</v>
      </c>
      <c r="G3" s="1" t="s">
        <v>386</v>
      </c>
      <c r="H3" s="1" t="s">
        <v>387</v>
      </c>
      <c r="I3" s="1" t="s">
        <v>388</v>
      </c>
      <c r="J3" s="1" t="s">
        <v>389</v>
      </c>
      <c r="K3" s="1" t="s">
        <v>390</v>
      </c>
      <c r="L3" s="1" t="s">
        <v>391</v>
      </c>
      <c r="M3" s="1" t="s">
        <v>392</v>
      </c>
    </row>
    <row r="4">
      <c r="A4" s="1" t="s">
        <v>393</v>
      </c>
      <c r="B4" s="1" t="s">
        <v>394</v>
      </c>
      <c r="C4" s="1" t="s">
        <v>395</v>
      </c>
      <c r="D4" s="1" t="s">
        <v>396</v>
      </c>
      <c r="E4" s="1" t="s">
        <v>397</v>
      </c>
      <c r="F4" s="1" t="s">
        <v>398</v>
      </c>
      <c r="G4" s="1" t="s">
        <v>399</v>
      </c>
      <c r="H4" s="1" t="s">
        <v>400</v>
      </c>
      <c r="I4" s="1" t="s">
        <v>401</v>
      </c>
      <c r="J4" s="1" t="s">
        <v>402</v>
      </c>
      <c r="K4" s="1" t="s">
        <v>403</v>
      </c>
      <c r="L4" s="1" t="s">
        <v>404</v>
      </c>
      <c r="M4" s="1" t="s">
        <v>405</v>
      </c>
    </row>
    <row r="5">
      <c r="A5" s="1" t="s">
        <v>406</v>
      </c>
      <c r="B5" s="1" t="s">
        <v>407</v>
      </c>
      <c r="C5" s="1" t="s">
        <v>408</v>
      </c>
      <c r="D5" s="1" t="s">
        <v>409</v>
      </c>
      <c r="E5" s="1" t="s">
        <v>409</v>
      </c>
      <c r="F5" s="1" t="s">
        <v>409</v>
      </c>
      <c r="G5" s="1" t="s">
        <v>410</v>
      </c>
      <c r="H5" s="1" t="s">
        <v>411</v>
      </c>
      <c r="I5" s="1" t="s">
        <v>412</v>
      </c>
      <c r="J5" s="1" t="s">
        <v>413</v>
      </c>
      <c r="K5" s="1" t="s">
        <v>414</v>
      </c>
      <c r="L5" s="1" t="s">
        <v>415</v>
      </c>
      <c r="M5" s="1" t="s">
        <v>416</v>
      </c>
    </row>
    <row r="6">
      <c r="A6" s="1" t="s">
        <v>417</v>
      </c>
      <c r="B6" s="1" t="s">
        <v>418</v>
      </c>
      <c r="C6" s="1" t="s">
        <v>419</v>
      </c>
      <c r="D6" s="1" t="s">
        <v>420</v>
      </c>
      <c r="E6" s="1" t="s">
        <v>421</v>
      </c>
      <c r="F6" s="1" t="s">
        <v>422</v>
      </c>
      <c r="G6" s="1" t="s">
        <v>423</v>
      </c>
      <c r="H6" s="1" t="s">
        <v>424</v>
      </c>
      <c r="I6" s="1" t="s">
        <v>425</v>
      </c>
      <c r="J6" s="1" t="s">
        <v>426</v>
      </c>
      <c r="K6" s="1" t="s">
        <v>427</v>
      </c>
      <c r="L6" s="1" t="s">
        <v>428</v>
      </c>
      <c r="M6" s="1" t="s">
        <v>429</v>
      </c>
    </row>
    <row r="7">
      <c r="A7" s="1" t="s">
        <v>430</v>
      </c>
      <c r="B7" s="1" t="s">
        <v>431</v>
      </c>
      <c r="C7" s="1" t="s">
        <v>432</v>
      </c>
      <c r="D7" s="1" t="s">
        <v>433</v>
      </c>
      <c r="E7" s="1" t="s">
        <v>434</v>
      </c>
      <c r="F7" s="1" t="s">
        <v>435</v>
      </c>
      <c r="G7" s="1" t="s">
        <v>436</v>
      </c>
      <c r="H7" s="1" t="s">
        <v>437</v>
      </c>
      <c r="I7" s="1" t="s">
        <v>438</v>
      </c>
      <c r="J7" s="1" t="s">
        <v>439</v>
      </c>
      <c r="K7" s="1" t="s">
        <v>440</v>
      </c>
      <c r="L7" s="1" t="s">
        <v>441</v>
      </c>
      <c r="M7" s="1" t="s">
        <v>442</v>
      </c>
    </row>
    <row r="8">
      <c r="A8" s="1" t="s">
        <v>443</v>
      </c>
      <c r="B8" s="1" t="s">
        <v>444</v>
      </c>
      <c r="C8" s="1" t="s">
        <v>445</v>
      </c>
      <c r="D8" s="1" t="s">
        <v>446</v>
      </c>
      <c r="E8" s="1" t="s">
        <v>447</v>
      </c>
      <c r="F8" s="1" t="s">
        <v>448</v>
      </c>
      <c r="G8" s="1" t="s">
        <v>449</v>
      </c>
      <c r="H8" s="1" t="s">
        <v>450</v>
      </c>
      <c r="I8" s="1" t="s">
        <v>451</v>
      </c>
      <c r="J8" s="1" t="s">
        <v>452</v>
      </c>
      <c r="K8" s="1" t="s">
        <v>453</v>
      </c>
      <c r="L8" s="1" t="s">
        <v>454</v>
      </c>
      <c r="M8" s="1" t="s">
        <v>455</v>
      </c>
    </row>
    <row r="9">
      <c r="A9" s="1" t="s">
        <v>456</v>
      </c>
      <c r="B9" s="1" t="s">
        <v>457</v>
      </c>
      <c r="C9" s="1" t="s">
        <v>458</v>
      </c>
      <c r="D9" s="1" t="s">
        <v>459</v>
      </c>
      <c r="E9" s="1" t="s">
        <v>460</v>
      </c>
      <c r="F9" s="1" t="s">
        <v>461</v>
      </c>
      <c r="G9" s="1" t="s">
        <v>462</v>
      </c>
      <c r="H9" s="1" t="s">
        <v>463</v>
      </c>
      <c r="I9" s="1" t="s">
        <v>464</v>
      </c>
      <c r="J9" s="1" t="s">
        <v>465</v>
      </c>
      <c r="K9" s="1" t="s">
        <v>466</v>
      </c>
      <c r="L9" s="1" t="s">
        <v>467</v>
      </c>
      <c r="M9" s="1" t="s">
        <v>468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7.38"/>
  </cols>
  <sheetData>
    <row r="1">
      <c r="A1" s="21" t="s">
        <v>469</v>
      </c>
      <c r="B1" s="21" t="s">
        <v>470</v>
      </c>
      <c r="C1" s="21" t="s">
        <v>471</v>
      </c>
      <c r="D1" s="21" t="s">
        <v>472</v>
      </c>
      <c r="E1" s="21" t="s">
        <v>473</v>
      </c>
    </row>
    <row r="2">
      <c r="A2" s="1" t="s">
        <v>474</v>
      </c>
      <c r="B2" s="1">
        <v>1.0</v>
      </c>
      <c r="C2" s="1" t="s">
        <v>475</v>
      </c>
      <c r="D2" s="1" t="s">
        <v>476</v>
      </c>
      <c r="E2" s="1" t="s">
        <v>477</v>
      </c>
    </row>
    <row r="3">
      <c r="A3" s="1" t="s">
        <v>474</v>
      </c>
      <c r="B3" s="1">
        <v>2.0</v>
      </c>
      <c r="C3" s="1" t="s">
        <v>478</v>
      </c>
      <c r="D3" s="1" t="s">
        <v>476</v>
      </c>
      <c r="E3" s="1" t="s">
        <v>479</v>
      </c>
    </row>
    <row r="4">
      <c r="A4" s="1" t="s">
        <v>474</v>
      </c>
      <c r="B4" s="1">
        <v>3.0</v>
      </c>
      <c r="C4" s="1" t="s">
        <v>480</v>
      </c>
      <c r="D4" s="1" t="s">
        <v>476</v>
      </c>
      <c r="E4" s="1" t="s">
        <v>481</v>
      </c>
    </row>
    <row r="5">
      <c r="A5" s="1" t="s">
        <v>474</v>
      </c>
      <c r="B5" s="1">
        <v>4.0</v>
      </c>
      <c r="C5" s="1" t="s">
        <v>482</v>
      </c>
      <c r="D5" s="1" t="s">
        <v>476</v>
      </c>
      <c r="E5" s="1" t="s">
        <v>483</v>
      </c>
    </row>
    <row r="6">
      <c r="A6" s="1" t="s">
        <v>474</v>
      </c>
      <c r="B6" s="1">
        <v>5.0</v>
      </c>
      <c r="C6" s="1" t="s">
        <v>484</v>
      </c>
      <c r="D6" s="1" t="s">
        <v>485</v>
      </c>
      <c r="E6" s="1" t="s">
        <v>486</v>
      </c>
    </row>
    <row r="7">
      <c r="A7" s="1" t="s">
        <v>487</v>
      </c>
      <c r="B7" s="1">
        <v>1.0</v>
      </c>
      <c r="C7" s="1" t="s">
        <v>475</v>
      </c>
      <c r="D7" s="1" t="s">
        <v>476</v>
      </c>
      <c r="E7" s="1" t="s">
        <v>488</v>
      </c>
    </row>
    <row r="8">
      <c r="A8" s="1" t="s">
        <v>487</v>
      </c>
      <c r="B8" s="1">
        <v>2.0</v>
      </c>
      <c r="C8" s="1" t="s">
        <v>478</v>
      </c>
      <c r="D8" s="1" t="s">
        <v>476</v>
      </c>
      <c r="E8" s="1" t="s">
        <v>489</v>
      </c>
    </row>
    <row r="9">
      <c r="A9" s="1" t="s">
        <v>487</v>
      </c>
      <c r="B9" s="1">
        <v>3.0</v>
      </c>
      <c r="C9" s="1" t="s">
        <v>490</v>
      </c>
      <c r="D9" s="1" t="s">
        <v>476</v>
      </c>
      <c r="E9" s="1" t="s">
        <v>491</v>
      </c>
    </row>
    <row r="10">
      <c r="A10" s="1" t="s">
        <v>487</v>
      </c>
      <c r="B10" s="1">
        <v>4.0</v>
      </c>
      <c r="C10" s="1" t="s">
        <v>482</v>
      </c>
      <c r="D10" s="1" t="s">
        <v>476</v>
      </c>
      <c r="E10" s="1" t="s">
        <v>492</v>
      </c>
    </row>
    <row r="11">
      <c r="A11" s="1" t="s">
        <v>493</v>
      </c>
      <c r="B11" s="1">
        <v>1.0</v>
      </c>
      <c r="C11" s="1" t="s">
        <v>494</v>
      </c>
      <c r="D11" s="1" t="s">
        <v>476</v>
      </c>
    </row>
    <row r="12">
      <c r="A12" s="1" t="s">
        <v>493</v>
      </c>
      <c r="B12" s="1">
        <v>2.0</v>
      </c>
      <c r="C12" s="1" t="s">
        <v>495</v>
      </c>
      <c r="D12" s="1" t="s">
        <v>476</v>
      </c>
      <c r="E12" s="1" t="s">
        <v>496</v>
      </c>
    </row>
    <row r="13">
      <c r="A13" s="1" t="s">
        <v>493</v>
      </c>
      <c r="B13" s="1">
        <v>3.0</v>
      </c>
      <c r="C13" s="1" t="s">
        <v>497</v>
      </c>
      <c r="D13" s="1" t="s">
        <v>476</v>
      </c>
    </row>
    <row r="14">
      <c r="A14" s="1" t="s">
        <v>493</v>
      </c>
      <c r="B14" s="1">
        <v>4.0</v>
      </c>
      <c r="C14" s="1" t="s">
        <v>498</v>
      </c>
      <c r="D14" s="1" t="s">
        <v>476</v>
      </c>
    </row>
    <row r="15">
      <c r="A15" s="1" t="s">
        <v>493</v>
      </c>
      <c r="B15" s="1">
        <v>5.0</v>
      </c>
      <c r="C15" s="1" t="s">
        <v>499</v>
      </c>
      <c r="D15" s="1" t="s">
        <v>476</v>
      </c>
    </row>
    <row r="16">
      <c r="A16" s="1" t="s">
        <v>500</v>
      </c>
      <c r="B16" s="1">
        <v>1.0</v>
      </c>
      <c r="C16" s="1" t="s">
        <v>501</v>
      </c>
      <c r="D16" s="1" t="s">
        <v>502</v>
      </c>
      <c r="E16" s="1" t="s">
        <v>503</v>
      </c>
    </row>
    <row r="17">
      <c r="A17" s="1" t="s">
        <v>500</v>
      </c>
      <c r="B17" s="1">
        <v>2.0</v>
      </c>
      <c r="C17" s="1" t="s">
        <v>504</v>
      </c>
      <c r="D17" s="1" t="s">
        <v>502</v>
      </c>
      <c r="E17" s="1" t="s">
        <v>505</v>
      </c>
    </row>
    <row r="18">
      <c r="A18" s="1" t="s">
        <v>500</v>
      </c>
      <c r="B18" s="1">
        <v>3.0</v>
      </c>
      <c r="C18" s="1" t="s">
        <v>506</v>
      </c>
      <c r="D18" s="1" t="s">
        <v>502</v>
      </c>
      <c r="E18" s="1" t="s">
        <v>507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s>
  <sheetData>
    <row r="1">
      <c r="A1" s="24" t="s">
        <v>508</v>
      </c>
      <c r="B1" s="24" t="s">
        <v>509</v>
      </c>
      <c r="C1" s="24" t="s">
        <v>510</v>
      </c>
      <c r="D1" s="24" t="s">
        <v>511</v>
      </c>
    </row>
    <row r="2">
      <c r="A2" s="24" t="s">
        <v>512</v>
      </c>
      <c r="B2" s="24" t="s">
        <v>513</v>
      </c>
      <c r="C2" s="25" t="s">
        <v>514</v>
      </c>
      <c r="D2" s="26"/>
    </row>
    <row r="3">
      <c r="A3" s="24" t="s">
        <v>512</v>
      </c>
      <c r="B3" s="24" t="s">
        <v>515</v>
      </c>
      <c r="C3" s="26"/>
      <c r="D3" s="26"/>
    </row>
    <row r="4">
      <c r="A4" s="24" t="s">
        <v>512</v>
      </c>
      <c r="B4" s="24" t="s">
        <v>516</v>
      </c>
      <c r="C4" s="26"/>
      <c r="D4" s="26"/>
    </row>
    <row r="5">
      <c r="A5" s="24" t="s">
        <v>512</v>
      </c>
      <c r="B5" s="24" t="s">
        <v>517</v>
      </c>
      <c r="C5" s="26"/>
      <c r="D5" s="26"/>
    </row>
    <row r="6">
      <c r="A6" s="24" t="s">
        <v>512</v>
      </c>
      <c r="B6" s="24" t="s">
        <v>518</v>
      </c>
      <c r="C6" s="26"/>
      <c r="D6" s="26"/>
    </row>
    <row r="7">
      <c r="A7" s="24" t="s">
        <v>519</v>
      </c>
      <c r="B7" s="24" t="s">
        <v>520</v>
      </c>
      <c r="C7" s="26"/>
      <c r="D7" s="26"/>
    </row>
    <row r="8">
      <c r="A8" s="24" t="s">
        <v>519</v>
      </c>
      <c r="B8" s="24" t="s">
        <v>521</v>
      </c>
      <c r="C8" s="26"/>
      <c r="D8" s="26"/>
    </row>
    <row r="9">
      <c r="A9" s="24" t="s">
        <v>519</v>
      </c>
      <c r="B9" s="24" t="s">
        <v>522</v>
      </c>
      <c r="C9" s="26"/>
      <c r="D9" s="26"/>
    </row>
    <row r="10">
      <c r="A10" s="24" t="s">
        <v>519</v>
      </c>
      <c r="B10" s="24" t="s">
        <v>523</v>
      </c>
      <c r="C10" s="26"/>
      <c r="D10" s="26"/>
    </row>
    <row r="11">
      <c r="A11" s="24" t="s">
        <v>524</v>
      </c>
      <c r="B11" s="24" t="s">
        <v>525</v>
      </c>
      <c r="C11" s="26"/>
      <c r="D11" s="26"/>
    </row>
    <row r="12">
      <c r="A12" s="24" t="s">
        <v>524</v>
      </c>
      <c r="B12" s="24" t="s">
        <v>526</v>
      </c>
      <c r="C12" s="26"/>
      <c r="D12" s="26"/>
    </row>
    <row r="13">
      <c r="A13" s="24" t="s">
        <v>527</v>
      </c>
      <c r="B13" s="24" t="s">
        <v>528</v>
      </c>
      <c r="C13" s="26"/>
      <c r="D13" s="26"/>
    </row>
    <row r="14">
      <c r="A14" s="24" t="s">
        <v>527</v>
      </c>
      <c r="B14" s="24" t="s">
        <v>529</v>
      </c>
      <c r="C14" s="26"/>
      <c r="D14" s="26"/>
    </row>
    <row r="15">
      <c r="A15" s="24" t="s">
        <v>527</v>
      </c>
      <c r="B15" s="24" t="s">
        <v>530</v>
      </c>
      <c r="C15" s="26"/>
      <c r="D15" s="26"/>
    </row>
    <row r="16">
      <c r="A16" s="24" t="s">
        <v>527</v>
      </c>
      <c r="B16" s="24" t="s">
        <v>531</v>
      </c>
      <c r="C16" s="26"/>
      <c r="D16" s="26"/>
    </row>
    <row r="17">
      <c r="A17" s="24" t="s">
        <v>532</v>
      </c>
      <c r="B17" s="24" t="s">
        <v>533</v>
      </c>
      <c r="C17" s="26"/>
      <c r="D17" s="26"/>
    </row>
    <row r="18">
      <c r="A18" s="24" t="s">
        <v>532</v>
      </c>
      <c r="B18" s="24" t="s">
        <v>534</v>
      </c>
      <c r="C18" s="26"/>
      <c r="D18" s="26"/>
    </row>
    <row r="19">
      <c r="A19" s="24" t="s">
        <v>532</v>
      </c>
      <c r="B19" s="24" t="s">
        <v>535</v>
      </c>
      <c r="C19" s="26"/>
      <c r="D19" s="26"/>
    </row>
    <row r="20">
      <c r="A20" s="24" t="s">
        <v>536</v>
      </c>
      <c r="B20" s="24" t="s">
        <v>537</v>
      </c>
      <c r="C20" s="26"/>
      <c r="D20" s="26"/>
    </row>
    <row r="21">
      <c r="A21" s="24" t="s">
        <v>536</v>
      </c>
      <c r="B21" s="24" t="s">
        <v>538</v>
      </c>
      <c r="C21" s="26"/>
      <c r="D21" s="2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1"/>
      <c r="B1" s="27"/>
      <c r="C1" s="16">
        <f>sum(C2:C1001)</f>
        <v>3373.6248</v>
      </c>
      <c r="D1" s="1"/>
      <c r="E1" s="1"/>
      <c r="F1" s="1"/>
      <c r="G1" s="1"/>
      <c r="H1" s="1"/>
      <c r="I1" s="16"/>
    </row>
    <row r="2">
      <c r="A2" s="1" t="s">
        <v>157</v>
      </c>
      <c r="B2" s="27">
        <v>46116.0</v>
      </c>
      <c r="C2" s="1">
        <v>491.96</v>
      </c>
      <c r="D2" s="1" t="s">
        <v>539</v>
      </c>
      <c r="E2" s="1" t="s">
        <v>540</v>
      </c>
      <c r="F2" s="1" t="s">
        <v>541</v>
      </c>
      <c r="G2" s="1" t="s">
        <v>542</v>
      </c>
      <c r="H2" s="1" t="s">
        <v>543</v>
      </c>
      <c r="I2" s="16" t="s">
        <v>544</v>
      </c>
    </row>
    <row r="3">
      <c r="A3" s="1" t="s">
        <v>100</v>
      </c>
      <c r="B3" s="27">
        <v>46104.0</v>
      </c>
      <c r="C3" s="1">
        <f>622.4+21.78</f>
        <v>644.18</v>
      </c>
      <c r="D3" s="1" t="s">
        <v>545</v>
      </c>
      <c r="E3" s="1" t="s">
        <v>546</v>
      </c>
      <c r="F3" s="1" t="s">
        <v>85</v>
      </c>
      <c r="G3" s="1" t="s">
        <v>27</v>
      </c>
      <c r="H3" s="1" t="s">
        <v>547</v>
      </c>
    </row>
    <row r="4">
      <c r="A4" s="1" t="s">
        <v>90</v>
      </c>
      <c r="B4" s="27">
        <v>46102.0</v>
      </c>
      <c r="C4" s="1">
        <v>410.0</v>
      </c>
      <c r="D4" s="1" t="s">
        <v>548</v>
      </c>
      <c r="E4" s="1" t="s">
        <v>540</v>
      </c>
      <c r="F4" s="1" t="s">
        <v>549</v>
      </c>
      <c r="G4" s="27">
        <v>46098.0</v>
      </c>
      <c r="H4" s="1" t="s">
        <v>547</v>
      </c>
    </row>
    <row r="5">
      <c r="A5" s="1" t="s">
        <v>550</v>
      </c>
    </row>
    <row r="6">
      <c r="A6" s="1" t="s">
        <v>551</v>
      </c>
    </row>
    <row r="7">
      <c r="A7" s="1" t="s">
        <v>552</v>
      </c>
    </row>
    <row r="8">
      <c r="A8" s="1" t="s">
        <v>553</v>
      </c>
    </row>
    <row r="9">
      <c r="A9" s="1" t="s">
        <v>173</v>
      </c>
      <c r="B9" s="27">
        <v>46094.0</v>
      </c>
      <c r="D9" s="4" t="s">
        <v>554</v>
      </c>
      <c r="F9" s="1" t="s">
        <v>555</v>
      </c>
      <c r="G9" s="1" t="s">
        <v>556</v>
      </c>
      <c r="H9" s="1" t="s">
        <v>557</v>
      </c>
    </row>
    <row r="10">
      <c r="A10" s="1" t="s">
        <v>558</v>
      </c>
      <c r="B10" s="27">
        <v>46092.0</v>
      </c>
      <c r="C10" s="1">
        <f>167.26*5.44</f>
        <v>909.8944</v>
      </c>
      <c r="E10" s="1" t="s">
        <v>559</v>
      </c>
      <c r="F10" s="1" t="s">
        <v>560</v>
      </c>
      <c r="G10" s="27">
        <v>46089.0</v>
      </c>
      <c r="H10" s="1" t="s">
        <v>547</v>
      </c>
    </row>
    <row r="11">
      <c r="A11" s="1" t="s">
        <v>561</v>
      </c>
      <c r="B11" s="27">
        <v>46093.0</v>
      </c>
      <c r="C11" s="28">
        <f>185*2</f>
        <v>370</v>
      </c>
      <c r="D11" s="4" t="s">
        <v>562</v>
      </c>
      <c r="E11" s="1" t="s">
        <v>559</v>
      </c>
      <c r="F11" s="1" t="s">
        <v>563</v>
      </c>
      <c r="G11" s="1" t="s">
        <v>556</v>
      </c>
      <c r="H11" s="1" t="s">
        <v>557</v>
      </c>
    </row>
    <row r="12">
      <c r="A12" s="1" t="s">
        <v>564</v>
      </c>
      <c r="B12" s="27">
        <v>46097.0</v>
      </c>
      <c r="C12" s="28">
        <f>100.66*5.44</f>
        <v>547.5904</v>
      </c>
      <c r="D12" s="4" t="s">
        <v>565</v>
      </c>
      <c r="E12" s="1" t="s">
        <v>559</v>
      </c>
      <c r="F12" s="1" t="s">
        <v>566</v>
      </c>
      <c r="G12" s="27">
        <v>46094.0</v>
      </c>
      <c r="H12" s="1" t="s">
        <v>547</v>
      </c>
    </row>
    <row r="13">
      <c r="A13" s="1" t="s">
        <v>567</v>
      </c>
    </row>
    <row r="14">
      <c r="A14" s="1" t="s">
        <v>568</v>
      </c>
    </row>
    <row r="15">
      <c r="A15" s="1" t="s">
        <v>569</v>
      </c>
      <c r="B15" s="27">
        <v>46107.0</v>
      </c>
    </row>
    <row r="16">
      <c r="A16" s="1" t="s">
        <v>570</v>
      </c>
    </row>
    <row r="17">
      <c r="A17" s="1" t="s">
        <v>571</v>
      </c>
    </row>
    <row r="18">
      <c r="A18" s="1" t="s">
        <v>572</v>
      </c>
      <c r="B18" s="27">
        <v>46108.0</v>
      </c>
      <c r="D18" s="4" t="s">
        <v>573</v>
      </c>
    </row>
  </sheetData>
  <hyperlinks>
    <hyperlink r:id="rId1" ref="D9"/>
    <hyperlink r:id="rId2" ref="D11"/>
    <hyperlink r:id="rId3" ref="D12"/>
    <hyperlink r:id="rId4" ref="D1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14.0"/>
  </cols>
  <sheetData>
    <row r="1">
      <c r="A1" s="1" t="s">
        <v>22</v>
      </c>
      <c r="B1" s="1" t="s">
        <v>574</v>
      </c>
      <c r="C1" s="1" t="s">
        <v>575</v>
      </c>
      <c r="D1" s="17" t="s">
        <v>576</v>
      </c>
      <c r="E1" s="17" t="s">
        <v>577</v>
      </c>
      <c r="F1" s="17" t="s">
        <v>578</v>
      </c>
      <c r="G1" s="17" t="s">
        <v>579</v>
      </c>
      <c r="H1" s="17" t="s">
        <v>580</v>
      </c>
      <c r="I1" s="17" t="s">
        <v>581</v>
      </c>
      <c r="J1" s="17" t="s">
        <v>582</v>
      </c>
      <c r="K1" s="17" t="s">
        <v>583</v>
      </c>
      <c r="L1" s="17" t="s">
        <v>584</v>
      </c>
      <c r="M1" s="17" t="s">
        <v>585</v>
      </c>
      <c r="N1" s="17" t="s">
        <v>586</v>
      </c>
    </row>
    <row r="2">
      <c r="A2" s="1" t="s">
        <v>27</v>
      </c>
      <c r="B2" s="1" t="s">
        <v>27</v>
      </c>
      <c r="C2" s="1" t="s">
        <v>27</v>
      </c>
      <c r="D2" s="17"/>
      <c r="E2" s="17" t="s">
        <v>27</v>
      </c>
      <c r="F2" s="17" t="s">
        <v>27</v>
      </c>
      <c r="G2" s="29">
        <f>SUM(G3:G1007)</f>
        <v>25</v>
      </c>
      <c r="H2" s="17" t="s">
        <v>27</v>
      </c>
      <c r="I2" s="30">
        <f>SUM(I3:I1007)</f>
        <v>15387.2092</v>
      </c>
      <c r="J2" s="17" t="s">
        <v>27</v>
      </c>
      <c r="K2" s="17" t="s">
        <v>27</v>
      </c>
      <c r="L2" s="19"/>
      <c r="M2" s="19"/>
      <c r="N2" s="31">
        <f>I2/G2</f>
        <v>615.488368</v>
      </c>
    </row>
    <row r="3">
      <c r="A3" s="1" t="s">
        <v>172</v>
      </c>
      <c r="B3" s="1" t="s">
        <v>587</v>
      </c>
      <c r="C3" s="1" t="s">
        <v>588</v>
      </c>
      <c r="D3" s="17" t="s">
        <v>589</v>
      </c>
      <c r="E3" s="32">
        <v>46089.0</v>
      </c>
      <c r="F3" s="32">
        <v>46091.0</v>
      </c>
      <c r="G3" s="17">
        <f>F3-E3</f>
        <v>2</v>
      </c>
      <c r="H3" s="17" t="s">
        <v>590</v>
      </c>
      <c r="I3" s="33">
        <v>812.68</v>
      </c>
      <c r="J3" s="32">
        <v>46082.0</v>
      </c>
      <c r="K3" s="32">
        <v>46082.0</v>
      </c>
      <c r="L3" s="17"/>
      <c r="M3" s="17" t="s">
        <v>591</v>
      </c>
      <c r="N3" s="19"/>
    </row>
    <row r="4">
      <c r="A4" s="1" t="s">
        <v>592</v>
      </c>
      <c r="B4" s="1" t="s">
        <v>587</v>
      </c>
      <c r="C4" s="1" t="s">
        <v>593</v>
      </c>
      <c r="D4" s="17" t="s">
        <v>589</v>
      </c>
      <c r="E4" s="32">
        <v>46091.0</v>
      </c>
      <c r="F4" s="32">
        <v>46093.0</v>
      </c>
      <c r="G4" s="17">
        <v>2.0</v>
      </c>
      <c r="H4" s="19"/>
      <c r="I4" s="33">
        <f>2589.09+90.48</f>
        <v>2679.57</v>
      </c>
      <c r="J4" s="32">
        <v>46049.0</v>
      </c>
      <c r="K4" s="17" t="s">
        <v>27</v>
      </c>
      <c r="L4" s="17"/>
      <c r="M4" s="17" t="s">
        <v>589</v>
      </c>
      <c r="N4" s="19"/>
    </row>
    <row r="5">
      <c r="A5" s="1" t="s">
        <v>173</v>
      </c>
      <c r="B5" s="1" t="s">
        <v>587</v>
      </c>
      <c r="C5" s="1" t="s">
        <v>594</v>
      </c>
      <c r="D5" s="17" t="s">
        <v>589</v>
      </c>
      <c r="E5" s="32">
        <v>46093.0</v>
      </c>
      <c r="F5" s="32">
        <v>46095.0</v>
      </c>
      <c r="G5" s="17">
        <f t="shared" ref="G5:G6" si="1">F5-E5</f>
        <v>2</v>
      </c>
      <c r="H5" s="17" t="s">
        <v>595</v>
      </c>
      <c r="I5" s="33">
        <v>521.66</v>
      </c>
      <c r="J5" s="32">
        <v>46088.0</v>
      </c>
      <c r="K5" s="32">
        <v>46089.0</v>
      </c>
      <c r="L5" s="17"/>
      <c r="M5" s="17" t="s">
        <v>591</v>
      </c>
      <c r="N5" s="19"/>
    </row>
    <row r="6">
      <c r="A6" s="1" t="s">
        <v>596</v>
      </c>
      <c r="B6" s="1" t="s">
        <v>587</v>
      </c>
      <c r="C6" s="1" t="s">
        <v>597</v>
      </c>
      <c r="D6" s="17" t="s">
        <v>589</v>
      </c>
      <c r="E6" s="32">
        <v>46096.0</v>
      </c>
      <c r="F6" s="32">
        <v>46098.0</v>
      </c>
      <c r="G6" s="17">
        <f t="shared" si="1"/>
        <v>2</v>
      </c>
      <c r="H6" s="17" t="s">
        <v>598</v>
      </c>
      <c r="I6" s="33">
        <v>1238.14</v>
      </c>
      <c r="J6" s="32">
        <v>46334.0</v>
      </c>
      <c r="K6" s="32">
        <v>46073.0</v>
      </c>
      <c r="L6" s="17"/>
      <c r="M6" s="17" t="s">
        <v>589</v>
      </c>
      <c r="N6" s="19"/>
    </row>
    <row r="7">
      <c r="A7" s="1" t="s">
        <v>80</v>
      </c>
      <c r="B7" s="1" t="s">
        <v>599</v>
      </c>
      <c r="C7" s="1" t="s">
        <v>600</v>
      </c>
      <c r="D7" s="17" t="s">
        <v>591</v>
      </c>
      <c r="E7" s="32">
        <v>46098.0</v>
      </c>
      <c r="F7" s="32">
        <v>46099.0</v>
      </c>
      <c r="G7" s="17">
        <v>1.0</v>
      </c>
      <c r="H7" s="17" t="s">
        <v>601</v>
      </c>
      <c r="I7" s="33">
        <f>159.43*5.44</f>
        <v>867.2992</v>
      </c>
      <c r="J7" s="32">
        <v>46069.0</v>
      </c>
      <c r="K7" s="17" t="s">
        <v>27</v>
      </c>
      <c r="L7" s="17"/>
      <c r="M7" s="17" t="s">
        <v>589</v>
      </c>
      <c r="N7" s="19"/>
    </row>
    <row r="8">
      <c r="A8" s="1" t="s">
        <v>290</v>
      </c>
      <c r="B8" s="1" t="s">
        <v>587</v>
      </c>
      <c r="C8" s="1" t="s">
        <v>81</v>
      </c>
      <c r="D8" s="17" t="s">
        <v>591</v>
      </c>
      <c r="E8" s="32">
        <v>46099.0</v>
      </c>
      <c r="F8" s="32">
        <v>46100.0</v>
      </c>
      <c r="G8" s="17">
        <f>F8-E8</f>
        <v>1</v>
      </c>
      <c r="H8" s="17" t="s">
        <v>602</v>
      </c>
      <c r="I8" s="33">
        <v>511.65</v>
      </c>
      <c r="J8" s="32">
        <v>46094.0</v>
      </c>
      <c r="K8" s="32">
        <v>46096.0</v>
      </c>
      <c r="L8" s="17"/>
      <c r="M8" s="17" t="s">
        <v>591</v>
      </c>
      <c r="N8" s="19"/>
    </row>
    <row r="9">
      <c r="A9" s="1" t="s">
        <v>80</v>
      </c>
      <c r="B9" s="1" t="s">
        <v>599</v>
      </c>
      <c r="C9" s="1" t="s">
        <v>600</v>
      </c>
      <c r="D9" s="17" t="s">
        <v>591</v>
      </c>
      <c r="E9" s="32">
        <v>46100.0</v>
      </c>
      <c r="F9" s="32">
        <v>46101.0</v>
      </c>
      <c r="G9" s="17">
        <v>1.0</v>
      </c>
      <c r="H9" s="17" t="s">
        <v>603</v>
      </c>
      <c r="I9" s="33">
        <f>509.81+17.84</f>
        <v>527.65</v>
      </c>
      <c r="J9" s="32">
        <v>46046.0</v>
      </c>
      <c r="K9" s="17" t="s">
        <v>27</v>
      </c>
      <c r="L9" s="17"/>
      <c r="M9" s="17" t="s">
        <v>589</v>
      </c>
      <c r="N9" s="19"/>
    </row>
    <row r="10">
      <c r="A10" s="1" t="s">
        <v>90</v>
      </c>
      <c r="B10" s="1" t="s">
        <v>599</v>
      </c>
      <c r="C10" s="16" t="s">
        <v>604</v>
      </c>
      <c r="D10" s="17" t="s">
        <v>589</v>
      </c>
      <c r="E10" s="32">
        <v>46101.0</v>
      </c>
      <c r="F10" s="32">
        <v>46103.0</v>
      </c>
      <c r="G10" s="17">
        <f t="shared" ref="G10:G11" si="2">F10-E10</f>
        <v>2</v>
      </c>
      <c r="H10" s="1" t="s">
        <v>605</v>
      </c>
      <c r="I10" s="33">
        <v>976.0</v>
      </c>
      <c r="J10" s="32">
        <v>46100.0</v>
      </c>
      <c r="K10" s="32">
        <v>46099.0</v>
      </c>
      <c r="L10" s="17"/>
      <c r="M10" s="17" t="s">
        <v>591</v>
      </c>
      <c r="N10" s="19"/>
    </row>
    <row r="11">
      <c r="A11" s="1" t="s">
        <v>100</v>
      </c>
      <c r="B11" s="1" t="s">
        <v>587</v>
      </c>
      <c r="C11" s="1" t="s">
        <v>98</v>
      </c>
      <c r="D11" s="17" t="s">
        <v>589</v>
      </c>
      <c r="E11" s="32">
        <v>46103.0</v>
      </c>
      <c r="F11" s="32">
        <v>46105.0</v>
      </c>
      <c r="G11" s="17">
        <f t="shared" si="2"/>
        <v>2</v>
      </c>
      <c r="H11" s="17" t="s">
        <v>606</v>
      </c>
      <c r="I11" s="33">
        <v>728.0</v>
      </c>
      <c r="J11" s="32">
        <v>46087.0</v>
      </c>
      <c r="K11" s="32">
        <v>46089.0</v>
      </c>
      <c r="L11" s="17"/>
      <c r="M11" s="17" t="s">
        <v>591</v>
      </c>
      <c r="N11" s="19"/>
    </row>
    <row r="12">
      <c r="A12" s="1" t="s">
        <v>111</v>
      </c>
      <c r="B12" s="1" t="s">
        <v>607</v>
      </c>
      <c r="C12" s="1" t="s">
        <v>608</v>
      </c>
      <c r="D12" s="17" t="s">
        <v>589</v>
      </c>
      <c r="E12" s="32">
        <v>46105.0</v>
      </c>
      <c r="F12" s="32">
        <v>46106.0</v>
      </c>
      <c r="G12" s="17">
        <v>1.0</v>
      </c>
      <c r="H12" s="17" t="s">
        <v>609</v>
      </c>
      <c r="I12" s="33">
        <v>780.56</v>
      </c>
      <c r="J12" s="32">
        <v>46102.0</v>
      </c>
      <c r="K12" s="32">
        <v>46102.0</v>
      </c>
      <c r="L12" s="17" t="s">
        <v>610</v>
      </c>
      <c r="M12" s="17" t="s">
        <v>591</v>
      </c>
      <c r="N12" s="19"/>
    </row>
    <row r="13">
      <c r="A13" s="1" t="s">
        <v>133</v>
      </c>
      <c r="B13" s="1" t="s">
        <v>607</v>
      </c>
      <c r="C13" s="1" t="s">
        <v>611</v>
      </c>
      <c r="D13" s="17" t="s">
        <v>589</v>
      </c>
      <c r="E13" s="32">
        <v>46106.0</v>
      </c>
      <c r="F13" s="32">
        <v>46108.0</v>
      </c>
      <c r="G13" s="17">
        <v>2.0</v>
      </c>
      <c r="H13" s="17" t="s">
        <v>612</v>
      </c>
      <c r="I13" s="33">
        <v>914.0</v>
      </c>
      <c r="J13" s="32">
        <v>46104.0</v>
      </c>
      <c r="K13" s="32">
        <v>46104.0</v>
      </c>
      <c r="L13" s="17" t="s">
        <v>610</v>
      </c>
      <c r="M13" s="17" t="s">
        <v>591</v>
      </c>
      <c r="N13" s="19"/>
    </row>
    <row r="14">
      <c r="A14" s="1" t="s">
        <v>139</v>
      </c>
      <c r="B14" s="1" t="s">
        <v>607</v>
      </c>
      <c r="C14" s="1" t="s">
        <v>613</v>
      </c>
      <c r="D14" s="17" t="s">
        <v>589</v>
      </c>
      <c r="E14" s="32">
        <v>46108.0</v>
      </c>
      <c r="F14" s="32">
        <v>46109.0</v>
      </c>
      <c r="G14" s="17">
        <v>1.0</v>
      </c>
      <c r="H14" s="17" t="s">
        <v>614</v>
      </c>
      <c r="I14" s="33">
        <v>1049.0</v>
      </c>
      <c r="J14" s="32">
        <v>46098.0</v>
      </c>
      <c r="K14" s="32">
        <v>46100.0</v>
      </c>
      <c r="L14" s="17" t="s">
        <v>610</v>
      </c>
      <c r="M14" s="17" t="s">
        <v>591</v>
      </c>
      <c r="N14" s="19"/>
    </row>
    <row r="15">
      <c r="A15" s="1" t="s">
        <v>111</v>
      </c>
      <c r="C15" s="34"/>
      <c r="D15" s="32"/>
      <c r="E15" s="32">
        <v>46109.0</v>
      </c>
      <c r="F15" s="32">
        <v>46110.0</v>
      </c>
      <c r="G15" s="17">
        <v>1.0</v>
      </c>
      <c r="H15" s="19"/>
      <c r="I15" s="33"/>
      <c r="J15" s="19"/>
      <c r="K15" s="19"/>
      <c r="L15" s="19"/>
      <c r="M15" s="17" t="s">
        <v>591</v>
      </c>
      <c r="N15" s="19"/>
    </row>
    <row r="16">
      <c r="A16" s="1" t="s">
        <v>112</v>
      </c>
      <c r="B16" s="1" t="s">
        <v>607</v>
      </c>
      <c r="C16" s="16" t="s">
        <v>615</v>
      </c>
      <c r="D16" s="17" t="s">
        <v>589</v>
      </c>
      <c r="E16" s="32">
        <v>46110.0</v>
      </c>
      <c r="F16" s="32">
        <v>46112.0</v>
      </c>
      <c r="G16" s="17">
        <v>2.0</v>
      </c>
      <c r="H16" s="17" t="s">
        <v>616</v>
      </c>
      <c r="I16" s="33">
        <v>2981.0</v>
      </c>
      <c r="J16" s="32">
        <v>46106.0</v>
      </c>
      <c r="K16" s="32">
        <v>46106.0</v>
      </c>
      <c r="L16" s="17" t="s">
        <v>610</v>
      </c>
      <c r="M16" s="17" t="s">
        <v>591</v>
      </c>
      <c r="N16" s="19"/>
    </row>
    <row r="17">
      <c r="A17" s="1" t="s">
        <v>111</v>
      </c>
      <c r="C17" s="34"/>
      <c r="D17" s="32"/>
      <c r="E17" s="32">
        <v>46112.0</v>
      </c>
      <c r="F17" s="32">
        <v>46113.0</v>
      </c>
      <c r="G17" s="17">
        <v>1.0</v>
      </c>
      <c r="H17" s="19"/>
      <c r="I17" s="33"/>
      <c r="J17" s="19"/>
      <c r="K17" s="19"/>
      <c r="L17" s="19"/>
      <c r="M17" s="19"/>
      <c r="N17" s="19"/>
    </row>
    <row r="18">
      <c r="A18" s="1" t="s">
        <v>157</v>
      </c>
      <c r="C18" s="34"/>
      <c r="D18" s="32"/>
      <c r="E18" s="32">
        <v>46113.0</v>
      </c>
      <c r="F18" s="32">
        <v>46114.0</v>
      </c>
      <c r="G18" s="17">
        <v>0.0</v>
      </c>
      <c r="H18" s="19"/>
      <c r="I18" s="33"/>
      <c r="J18" s="19"/>
      <c r="K18" s="19"/>
      <c r="L18" s="19"/>
      <c r="M18" s="19"/>
      <c r="N18" s="19"/>
    </row>
    <row r="19">
      <c r="A19" s="1" t="s">
        <v>144</v>
      </c>
      <c r="B19" s="1" t="s">
        <v>587</v>
      </c>
      <c r="C19" s="1" t="s">
        <v>617</v>
      </c>
      <c r="D19" s="17" t="s">
        <v>589</v>
      </c>
      <c r="E19" s="32">
        <v>46114.0</v>
      </c>
      <c r="F19" s="32">
        <v>46116.0</v>
      </c>
      <c r="G19" s="17">
        <f>F19-E19</f>
        <v>2</v>
      </c>
      <c r="H19" s="17" t="s">
        <v>618</v>
      </c>
      <c r="I19" s="33">
        <v>800.0</v>
      </c>
      <c r="J19" s="32">
        <v>46109.0</v>
      </c>
      <c r="K19" s="32">
        <v>46109.0</v>
      </c>
      <c r="L19" s="17"/>
      <c r="M19" s="17" t="s">
        <v>591</v>
      </c>
      <c r="N19" s="19"/>
    </row>
    <row r="20">
      <c r="G20" s="19"/>
    </row>
    <row r="21">
      <c r="G21" s="19"/>
    </row>
    <row r="22">
      <c r="G22" s="19"/>
    </row>
    <row r="23">
      <c r="G23" s="19"/>
    </row>
    <row r="24">
      <c r="G24" s="19"/>
    </row>
    <row r="25">
      <c r="G25" s="19"/>
    </row>
    <row r="26">
      <c r="G26" s="19"/>
    </row>
    <row r="27">
      <c r="G27" s="19"/>
    </row>
    <row r="28">
      <c r="G28" s="19"/>
    </row>
    <row r="29">
      <c r="G29" s="19"/>
    </row>
    <row r="30">
      <c r="G30" s="19"/>
    </row>
    <row r="31">
      <c r="G31" s="19"/>
    </row>
    <row r="32">
      <c r="G32" s="19"/>
    </row>
    <row r="33">
      <c r="G33" s="19"/>
    </row>
    <row r="34">
      <c r="G34" s="19"/>
    </row>
    <row r="35">
      <c r="G35" s="19"/>
    </row>
    <row r="36">
      <c r="G36" s="19"/>
    </row>
    <row r="37">
      <c r="G37" s="19"/>
    </row>
    <row r="38">
      <c r="G38" s="19"/>
    </row>
    <row r="39">
      <c r="G39" s="19"/>
    </row>
    <row r="40">
      <c r="G40" s="19"/>
    </row>
    <row r="41">
      <c r="G41" s="19"/>
    </row>
    <row r="42">
      <c r="G42" s="19"/>
    </row>
    <row r="43">
      <c r="G43" s="19"/>
    </row>
    <row r="44">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row r="996">
      <c r="G996" s="19"/>
    </row>
    <row r="997">
      <c r="G997" s="19"/>
    </row>
    <row r="998">
      <c r="G998" s="19"/>
    </row>
    <row r="999">
      <c r="G999" s="19"/>
    </row>
    <row r="1000">
      <c r="G1000" s="19"/>
    </row>
    <row r="1001">
      <c r="G1001" s="19"/>
    </row>
    <row r="1002">
      <c r="G1002" s="19"/>
    </row>
    <row r="1003">
      <c r="G1003" s="19"/>
    </row>
    <row r="1004">
      <c r="G1004" s="19"/>
    </row>
    <row r="1005">
      <c r="G1005" s="19"/>
    </row>
    <row r="1006">
      <c r="G1006" s="19"/>
    </row>
    <row r="1007">
      <c r="G1007" s="1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619</v>
      </c>
    </row>
    <row r="2">
      <c r="A2" s="1" t="s">
        <v>620</v>
      </c>
    </row>
    <row r="3">
      <c r="A3" s="1" t="s">
        <v>621</v>
      </c>
    </row>
    <row r="4">
      <c r="A4" s="1" t="s">
        <v>622</v>
      </c>
    </row>
    <row r="5">
      <c r="A5" s="1">
        <v>2.1995521955E10</v>
      </c>
    </row>
    <row r="7">
      <c r="A7" s="1" t="s">
        <v>623</v>
      </c>
    </row>
    <row r="8">
      <c r="A8" s="1" t="s">
        <v>624</v>
      </c>
    </row>
    <row r="9">
      <c r="A9" s="1" t="s">
        <v>625</v>
      </c>
    </row>
    <row r="10">
      <c r="A10" s="1">
        <v>881.0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30.88"/>
    <col customWidth="1" min="3" max="3" width="18.13"/>
    <col customWidth="1" min="4" max="4" width="17.63"/>
  </cols>
  <sheetData>
    <row r="1">
      <c r="A1" s="1"/>
      <c r="B1" s="1"/>
      <c r="C1" s="35" t="s">
        <v>626</v>
      </c>
      <c r="D1" s="35">
        <f>sum(D2:D1003)</f>
        <v>29582.9946</v>
      </c>
    </row>
    <row r="2">
      <c r="A2" s="1" t="s">
        <v>34</v>
      </c>
      <c r="B2" s="1" t="s">
        <v>627</v>
      </c>
      <c r="C2" s="35"/>
      <c r="D2" s="35">
        <v>18537.0</v>
      </c>
    </row>
    <row r="3">
      <c r="A3" s="1" t="s">
        <v>628</v>
      </c>
      <c r="B3" s="1" t="s">
        <v>629</v>
      </c>
      <c r="C3" s="35"/>
      <c r="D3" s="35">
        <v>68.0</v>
      </c>
    </row>
    <row r="4">
      <c r="A4" s="1" t="s">
        <v>48</v>
      </c>
      <c r="B4" s="1" t="s">
        <v>630</v>
      </c>
      <c r="C4" s="35" t="s">
        <v>631</v>
      </c>
      <c r="D4" s="35">
        <v>1008.46</v>
      </c>
    </row>
    <row r="5">
      <c r="A5" s="1" t="s">
        <v>57</v>
      </c>
      <c r="B5" s="1" t="s">
        <v>632</v>
      </c>
      <c r="C5" s="35" t="s">
        <v>633</v>
      </c>
      <c r="D5" s="35">
        <f>606.1+21.21</f>
        <v>627.31</v>
      </c>
    </row>
    <row r="6">
      <c r="A6" s="1" t="s">
        <v>68</v>
      </c>
      <c r="B6" s="1" t="s">
        <v>634</v>
      </c>
      <c r="C6" s="35" t="s">
        <v>635</v>
      </c>
      <c r="D6" s="35">
        <v>2270.65</v>
      </c>
    </row>
    <row r="7">
      <c r="A7" s="1" t="s">
        <v>636</v>
      </c>
      <c r="B7" s="1" t="s">
        <v>637</v>
      </c>
      <c r="C7" s="35" t="s">
        <v>638</v>
      </c>
      <c r="D7" s="35">
        <v>1252.85</v>
      </c>
      <c r="E7" s="1" t="s">
        <v>76</v>
      </c>
    </row>
    <row r="8">
      <c r="A8" s="1" t="s">
        <v>639</v>
      </c>
      <c r="B8" s="1" t="s">
        <v>640</v>
      </c>
      <c r="C8" s="35" t="s">
        <v>641</v>
      </c>
      <c r="D8" s="35">
        <v>1273.35</v>
      </c>
    </row>
    <row r="9">
      <c r="A9" s="1" t="s">
        <v>642</v>
      </c>
      <c r="B9" s="1" t="s">
        <v>643</v>
      </c>
      <c r="C9" s="35" t="s">
        <v>644</v>
      </c>
      <c r="D9" s="1">
        <f t="shared" ref="D9:D11" si="1">E9*5.42</f>
        <v>1371.531</v>
      </c>
      <c r="E9" s="1">
        <v>253.05</v>
      </c>
      <c r="F9" s="1" t="s">
        <v>645</v>
      </c>
    </row>
    <row r="10">
      <c r="A10" s="1" t="s">
        <v>646</v>
      </c>
      <c r="B10" s="1" t="s">
        <v>647</v>
      </c>
      <c r="C10" s="35"/>
      <c r="D10" s="1">
        <f t="shared" si="1"/>
        <v>1366.0568</v>
      </c>
      <c r="E10" s="1">
        <v>252.04</v>
      </c>
      <c r="F10" s="1" t="s">
        <v>645</v>
      </c>
    </row>
    <row r="11">
      <c r="A11" s="1" t="s">
        <v>105</v>
      </c>
      <c r="B11" s="1" t="s">
        <v>648</v>
      </c>
      <c r="C11" s="35"/>
      <c r="D11" s="1">
        <f t="shared" si="1"/>
        <v>1807.7868</v>
      </c>
      <c r="E11" s="1">
        <v>333.54</v>
      </c>
      <c r="F11" s="1" t="s">
        <v>645</v>
      </c>
    </row>
    <row r="12">
      <c r="A12" s="1" t="s">
        <v>649</v>
      </c>
      <c r="B12" s="1" t="s">
        <v>650</v>
      </c>
      <c r="C12" s="35"/>
    </row>
    <row r="16">
      <c r="A16" s="1" t="s">
        <v>651</v>
      </c>
    </row>
    <row r="17">
      <c r="A17" s="1" t="s">
        <v>652</v>
      </c>
    </row>
    <row r="18">
      <c r="A18" s="1" t="s">
        <v>653</v>
      </c>
    </row>
    <row r="19">
      <c r="A19" s="1" t="s">
        <v>654</v>
      </c>
    </row>
    <row r="20">
      <c r="A20" s="1" t="s">
        <v>655</v>
      </c>
    </row>
    <row r="21">
      <c r="A21" s="1" t="s">
        <v>656</v>
      </c>
    </row>
    <row r="22">
      <c r="A22" s="1" t="s">
        <v>657</v>
      </c>
    </row>
    <row r="23">
      <c r="A23" s="1" t="s">
        <v>658</v>
      </c>
    </row>
    <row r="24">
      <c r="A24" s="1" t="s">
        <v>659</v>
      </c>
    </row>
    <row r="25">
      <c r="A25" s="1" t="s">
        <v>660</v>
      </c>
    </row>
    <row r="26">
      <c r="A26" s="1" t="s">
        <v>661</v>
      </c>
    </row>
    <row r="27">
      <c r="A27" s="1" t="s">
        <v>662</v>
      </c>
    </row>
    <row r="28">
      <c r="A28" s="1" t="s">
        <v>663</v>
      </c>
    </row>
    <row r="29">
      <c r="A29" s="1" t="s">
        <v>664</v>
      </c>
    </row>
    <row r="30">
      <c r="A30" s="1" t="s">
        <v>665</v>
      </c>
    </row>
    <row r="31">
      <c r="A31" s="1" t="s">
        <v>666</v>
      </c>
    </row>
    <row r="32">
      <c r="A32" s="36">
        <v>0.3333333333333333</v>
      </c>
    </row>
    <row r="33">
      <c r="A33" s="1" t="s">
        <v>667</v>
      </c>
    </row>
    <row r="34">
      <c r="A34" s="1" t="s">
        <v>668</v>
      </c>
    </row>
    <row r="35">
      <c r="A35" s="36">
        <v>0.5</v>
      </c>
    </row>
    <row r="36">
      <c r="A36" s="1" t="s">
        <v>669</v>
      </c>
    </row>
    <row r="37">
      <c r="A37" s="1" t="s">
        <v>668</v>
      </c>
    </row>
    <row r="40">
      <c r="A40" s="1" t="s">
        <v>670</v>
      </c>
    </row>
    <row r="41">
      <c r="A41" s="1" t="s">
        <v>671</v>
      </c>
    </row>
    <row r="42">
      <c r="A42" s="1" t="s">
        <v>672</v>
      </c>
    </row>
  </sheetData>
  <drawing r:id="rId1"/>
</worksheet>
</file>